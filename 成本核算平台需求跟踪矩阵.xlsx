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项目管理" sheetId="2" r:id="rId1"/>
    <sheet name="项目进展分析" sheetId="3" r:id="rId2"/>
    <sheet name="项目甘特图" sheetId="4" r:id="rId3"/>
    <sheet name="使用说明" sheetId="5" r:id="rId4"/>
    <sheet name="节假日一览表" sheetId="6" r:id="rId5"/>
    <sheet name="测试问题及整改记录" sheetId="7" r:id="rId6"/>
  </sheets>
  <calcPr calcId="191029"/>
  <pivotCaches>
    <pivotCache cacheId="0" r:id="rId7"/>
    <pivotCache cacheId="1" r:id="rId8"/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<sst xmlns="http://schemas.openxmlformats.org/spreadsheetml/2006/main" count="325" uniqueCount="183">
  <si>
    <t>成本核算平台</t>
  </si>
  <si>
    <t>项目负责人</t>
  </si>
  <si>
    <t>GitFhw</t>
  </si>
  <si>
    <t>启动日期 (更改后自动更新）</t>
  </si>
  <si>
    <t>完成时间</t>
  </si>
  <si>
    <t xml:space="preserve"> </t>
  </si>
  <si>
    <t>当前日期</t>
  </si>
  <si>
    <t>剩余时间</t>
  </si>
  <si>
    <t>待启动</t>
  </si>
  <si>
    <t>进行中</t>
  </si>
  <si>
    <t>已延期</t>
  </si>
  <si>
    <t>任务</t>
  </si>
  <si>
    <t>备注</t>
  </si>
  <si>
    <t>负责人</t>
  </si>
  <si>
    <t>状态</t>
  </si>
  <si>
    <t>预计开始时间</t>
  </si>
  <si>
    <t>预计结束时间</t>
  </si>
  <si>
    <t>工时预估</t>
  </si>
  <si>
    <t>工时
自然日</t>
  </si>
  <si>
    <t>工时
工作日</t>
  </si>
  <si>
    <t>完成度
 %</t>
  </si>
  <si>
    <t>实际
开始时间</t>
  </si>
  <si>
    <t>实际
结束时间</t>
  </si>
  <si>
    <t>测试人</t>
  </si>
  <si>
    <t>开始时间</t>
  </si>
  <si>
    <t>结束时间</t>
  </si>
  <si>
    <t>测试结果</t>
  </si>
  <si>
    <t>一、底座与设计基线</t>
  </si>
  <si>
    <t>建立产品重构新基线</t>
  </si>
  <si>
    <t>已完成 ❇️</t>
  </si>
  <si>
    <t>【若依底座接入与品牌裁剪】</t>
  </si>
  <si>
    <t>完成独立仓库、品牌文案、导航精简</t>
  </si>
  <si>
    <t>【首页驾驶舱基线】</t>
  </si>
  <si>
    <t>首页切换为企业级成本核算驾驶舱</t>
  </si>
  <si>
    <t>【详细设计文档体系】</t>
  </si>
  <si>
    <t>补齐详细设计、缓存规范、验证规范、首页裁剪设计</t>
  </si>
  <si>
    <t>【完整数据库SQL与ER图】</t>
  </si>
  <si>
    <t>形成完整建表语句、ER图、页面原型</t>
  </si>
  <si>
    <t>【需求跟踪矩阵初始化】</t>
  </si>
  <si>
    <t>将模板转为当前项目进展、测试、计划台账</t>
  </si>
  <si>
    <t>二、配置主链恢复</t>
  </si>
  <si>
    <t>按业务域 -&gt; 场景 -&gt; 费用 -&gt; 变量 -&gt; 规则 -&gt; 阶梯推进</t>
  </si>
  <si>
    <t>进行中 🚀</t>
  </si>
  <si>
    <t>【业务域字典治理】</t>
  </si>
  <si>
    <t>独立系统字典并接入业务域下拉和筛选</t>
  </si>
  <si>
    <t>未开始 ⏳</t>
  </si>
  <si>
    <t>【场景中心】</t>
  </si>
  <si>
    <t>恢复场景台账、表单、筛选、治理入口</t>
  </si>
  <si>
    <t>【费用中心】</t>
  </si>
  <si>
    <t>恢复费用主数据、场景联动、影响因素摘要</t>
  </si>
  <si>
    <t>【变量中心】</t>
  </si>
  <si>
    <t>恢复字典型、接口型、公式型变量工作台</t>
  </si>
  <si>
    <t>【规则中心】</t>
  </si>
  <si>
    <t>实现费用主线规则台账与条件编辑</t>
  </si>
  <si>
    <t>【阶梯费率与依据变量】</t>
  </si>
  <si>
    <t>显式阶梯依据变量、区间规则、命中解释</t>
  </si>
  <si>
    <t>三、发布与治理恢复</t>
  </si>
  <si>
    <t>恢复场景发布、版本快照和费用级差异视图</t>
  </si>
  <si>
    <t>【发布中心】</t>
  </si>
  <si>
    <t>恢复发布说明、校验、版本台账、生效切换</t>
  </si>
  <si>
    <t>【版本差异与费用级视图】</t>
  </si>
  <si>
    <t>支持场景总览差异和费用级差异筛选</t>
  </si>
  <si>
    <t>【引用校验与删除保护】</t>
  </si>
  <si>
    <t>恢复变量、费用、规则删除前实时预检查</t>
  </si>
  <si>
    <t>【发布审计与回滚】</t>
  </si>
  <si>
    <t>补齐版本详情、回滚、发布审计链路</t>
  </si>
  <si>
    <t>四、运行链与性能治理</t>
  </si>
  <si>
    <t>恢复试算、正式核算、批量任务与百万级性能治理</t>
  </si>
  <si>
    <t>【试算中心】</t>
  </si>
  <si>
    <t>恢复试算、执行步骤时间线、单价来源解释</t>
  </si>
  <si>
    <t>【正式核算与批量任务】</t>
  </si>
  <si>
    <t>恢复按发布快照执行的单笔与批量核算</t>
  </si>
  <si>
    <t>【结果台账与追溯】</t>
  </si>
  <si>
    <t>恢复独立结果台账、规则命中与阶梯解释</t>
  </si>
  <si>
    <t>【百万级性能优化】</t>
  </si>
  <si>
    <t>批量分片、异步执行、索引与缓存优化</t>
  </si>
  <si>
    <t>【监控告警与通知】</t>
  </si>
  <si>
    <t>恢复任务告警、失败订阅和通知治理</t>
  </si>
  <si>
    <t>卸船基础</t>
  </si>
  <si>
    <t>汽车集疏港</t>
  </si>
  <si>
    <t>火车零工</t>
  </si>
  <si>
    <t>总共</t>
  </si>
  <si>
    <t>看板分析</t>
  </si>
  <si>
    <r>
      <rPr>
        <sz val="9.75"/>
        <color rgb="FF124B0C"/>
        <rFont val="等线"/>
        <charset val="134"/>
        <scheme val="minor"/>
      </rPr>
      <t>借助数据透视表，可以快速对项目数据进行分类汇总，交叉分析，实时掌控项目进度，效率，成员工作分布等信息，方便了解项目进展。通过简单拖拽字段，用户可轻松改变分析维度，提炼有价值内容，操作介绍请参考</t>
    </r>
    <r>
      <rPr>
        <u/>
        <sz val="9.75"/>
        <color theme="10"/>
        <rFont val="Calibri"/>
        <charset val="134"/>
      </rPr>
      <t>创建及使用数据透视表</t>
    </r>
  </si>
  <si>
    <t>卸船流程开发功能数130</t>
  </si>
  <si>
    <t>集疏港流程</t>
  </si>
  <si>
    <t>项目概览分析</t>
  </si>
  <si>
    <t>项目数量趋势分析</t>
  </si>
  <si>
    <t>统计项目成员任务分布情况</t>
  </si>
  <si>
    <t>计数项:任务</t>
  </si>
  <si>
    <t>任务数量统计</t>
  </si>
  <si>
    <t>总工时预估</t>
  </si>
  <si>
    <t>项目进展实时分析</t>
  </si>
  <si>
    <t>项目整体完成情况</t>
  </si>
  <si>
    <t>项目成员进展情况统计</t>
  </si>
  <si>
    <t>总计</t>
  </si>
  <si>
    <t>所属项目</t>
  </si>
  <si>
    <t>任务执行人</t>
  </si>
  <si>
    <t>截止时间</t>
  </si>
  <si>
    <t>优先级</t>
  </si>
  <si>
    <t>若依底座接入与品牌裁剪</t>
  </si>
  <si>
    <t>底座产品化</t>
  </si>
  <si>
    <t>已完成</t>
  </si>
  <si>
    <t>P0</t>
  </si>
  <si>
    <t>首页驾驶舱基线</t>
  </si>
  <si>
    <t>详细设计文档体系</t>
  </si>
  <si>
    <t>完整数据库SQL与ER图</t>
  </si>
  <si>
    <t>业务域字典治理</t>
  </si>
  <si>
    <t>配置主链</t>
  </si>
  <si>
    <t>未开始</t>
  </si>
  <si>
    <t>场景中心</t>
  </si>
  <si>
    <t>费用中心</t>
  </si>
  <si>
    <t>变量中心</t>
  </si>
  <si>
    <t>P1</t>
  </si>
  <si>
    <t>规则中心</t>
  </si>
  <si>
    <t>阶梯费率与依据变量</t>
  </si>
  <si>
    <t>发布中心与版本台账</t>
  </si>
  <si>
    <t>发布治理</t>
  </si>
  <si>
    <t>版本差异与费用级视图</t>
  </si>
  <si>
    <t>试算中心</t>
  </si>
  <si>
    <t>运行链</t>
  </si>
  <si>
    <t>正式核算与批量任务</t>
  </si>
  <si>
    <t>结果台账与追溯</t>
  </si>
  <si>
    <t>百万级性能优化</t>
  </si>
  <si>
    <t>性能治理</t>
  </si>
  <si>
    <t>使用说明</t>
  </si>
  <si>
    <t xml:space="preserve">1. </t>
  </si>
  <si>
    <t>填写预计开始/结束时间后，右侧的进度表会自动标记为黄色“待启动”。</t>
  </si>
  <si>
    <t xml:space="preserve">2. </t>
  </si>
  <si>
    <t>填写实际开始/结束时间后，右侧的进度表会自动标记会绿色“进行中”。</t>
  </si>
  <si>
    <t xml:space="preserve">3. </t>
  </si>
  <si>
    <t>若实际完成时间晚于预计结束时间，进度表会标记为红色“已延期”。</t>
  </si>
  <si>
    <t xml:space="preserve">4. </t>
  </si>
  <si>
    <r>
      <rPr>
        <sz val="9.75"/>
        <color rgb="FF1F2329"/>
        <rFont val="Calibri"/>
        <charset val="134"/>
      </rPr>
      <t>更智能的项目甘特图欢迎点击➡️</t>
    </r>
    <r>
      <rPr>
        <b/>
        <sz val="9.75"/>
        <color rgb="FF1F2329"/>
        <rFont val="Calibri"/>
        <charset val="134"/>
      </rPr>
      <t>（</t>
    </r>
    <r>
      <rPr>
        <b/>
        <u/>
        <sz val="9.75"/>
        <color theme="10"/>
        <rFont val="Calibri"/>
        <charset val="134"/>
      </rPr>
      <t>项目甘特图Pro模板</t>
    </r>
    <r>
      <rPr>
        <b/>
        <sz val="9.75"/>
        <color rgb="FF1F2329"/>
        <rFont val="Calibri"/>
        <charset val="134"/>
      </rPr>
      <t>）</t>
    </r>
    <r>
      <rPr>
        <sz val="9.75"/>
        <color rgb="FF1F2329"/>
        <rFont val="Calibri"/>
        <charset val="134"/>
      </rPr>
      <t>，可智能生成项目时间条、计算工作总量、根据子任务计算父级任务完成度</t>
    </r>
  </si>
  <si>
    <t>节日</t>
  </si>
  <si>
    <t>放假时间</t>
  </si>
  <si>
    <t>上班时间</t>
  </si>
  <si>
    <t>❗️此页Sheet用于计算2024年度中国大陆地区的假期和调休情况，与甘特图时间轴的调休标识关联，请勿删除❗️</t>
  </si>
  <si>
    <t>元旦</t>
  </si>
  <si>
    <t>1. 模板创建者可保护本子表，禁止其他协作者编辑本子表</t>
  </si>
  <si>
    <t>春节</t>
  </si>
  <si>
    <t>2. 保护子表后，可隐藏本页</t>
  </si>
  <si>
    <t>3. 如需自行调整假期和调休情况，可自行更新左侧B列和D列的日期；更新后，在“项目甘特图”表中，选择“条件格式”——“管理规则”——“整张工作表”，找到“自定义公式=NETWORKS.INTL……”的规则</t>
  </si>
  <si>
    <t>4. 将公式【 =NETWORKDAYS.INTL(J$4,J$4,1,'节假日一览表'!$B$2:$B$32)+COUNTIFS('节假日一览表'!$D$2:$D$10,"&gt;="&amp;J$4,'节假日一览表'!$D$2:$D$10,"&lt;="&amp;J$4)=0 】中的'节假日一览表'!$B$2:$B$32及'节假日一览表'!$D$2:$D$10范围扩充到与新增范围一致即可</t>
  </si>
  <si>
    <t>清明节</t>
  </si>
  <si>
    <t>劳动节</t>
  </si>
  <si>
    <t>端午节</t>
  </si>
  <si>
    <t>中秋节</t>
  </si>
  <si>
    <t>国庆节</t>
  </si>
  <si>
    <t>提报人</t>
  </si>
  <si>
    <t>提报时间</t>
  </si>
  <si>
    <t>所属子系统</t>
  </si>
  <si>
    <t>功能名称</t>
  </si>
  <si>
    <t>问题描述</t>
  </si>
  <si>
    <t>图片1</t>
  </si>
  <si>
    <t>图片2</t>
  </si>
  <si>
    <t>问题类型</t>
  </si>
  <si>
    <t>解决人</t>
  </si>
  <si>
    <t>解决情况</t>
  </si>
  <si>
    <t>解决时间</t>
  </si>
  <si>
    <t>复核人</t>
  </si>
  <si>
    <t>复核结果</t>
  </si>
  <si>
    <t>前端底座</t>
  </si>
  <si>
    <t>首页驾驶舱生产构建</t>
  </si>
  <si>
    <t>生产构建时依赖包 unplugin-vue-setup-extend-plus 缺失 chunk 文件，导致 vite build 失败</t>
  </si>
  <si>
    <t>缺陷</t>
  </si>
  <si>
    <t>高</t>
  </si>
  <si>
    <t>已定位为前端依赖树异常，需单独修复依赖并复验构建</t>
  </si>
  <si>
    <t>发布中心</t>
  </si>
  <si>
    <t>场景发布与费用差异视图</t>
  </si>
  <si>
    <t>原设计仅明确场景级发布，未写清费用级版本差异视图及与场景发布的交互逻辑</t>
  </si>
  <si>
    <t>设计缺口</t>
  </si>
  <si>
    <t>Codex</t>
  </si>
  <si>
    <t>已补充到详细设计，明确“场景发布、费用级差异查看”的正式口径</t>
  </si>
  <si>
    <t>阶梯费率设计</t>
  </si>
  <si>
    <t>原设计未充分强调阶梯费率必须受业务变量影响，如载重吨、人数、里程等</t>
  </si>
  <si>
    <t>已补充到详细设计，要求显式维护阶梯依据变量并可解释命中结果</t>
  </si>
  <si>
    <t>项目管理</t>
  </si>
  <si>
    <t>需求跟踪矩阵</t>
  </si>
  <si>
    <t>现有文件为通用模板，未体现当前项目真实进展、测试记录和计划</t>
  </si>
  <si>
    <t>优化</t>
  </si>
  <si>
    <t>一般</t>
  </si>
  <si>
    <t>已按当前项目基线回填进展、甘特计划和测试问题记录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</si>
</sst>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m/d"/>
    <numFmt numFmtId="178" formatCode="#,##0.0"/>
    <numFmt numFmtId="179" formatCode="0_);\(0\)"/>
  </numFmts>
  <fonts count="58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b/>
      <sz val="24"/>
      <color rgb="FF245BDB"/>
      <name val="等线"/>
      <charset val="134"/>
      <scheme val="minor"/>
    </font>
    <font>
      <b/>
      <sz val="24"/>
      <color rgb="FF186010"/>
      <name val="等线"/>
      <charset val="134"/>
      <scheme val="minor"/>
    </font>
    <font>
      <sz val="9.75"/>
      <color rgb="FF124B0C"/>
      <name val="等线"/>
      <charset val="134"/>
      <scheme val="minor"/>
    </font>
    <font>
      <b/>
      <sz val="9.75"/>
      <color rgb="FF5468D2"/>
      <name val="等线"/>
      <charset val="134"/>
      <scheme val="minor"/>
    </font>
    <font>
      <b/>
      <sz val="13.5"/>
      <color rgb="FF124B0C"/>
      <name val="等线"/>
      <charset val="134"/>
      <scheme val="minor"/>
    </font>
    <font>
      <sz val="9.75"/>
      <color rgb="FF575E68"/>
      <name val="等线"/>
      <charset val="134"/>
      <scheme val="minor"/>
    </font>
    <font>
      <b/>
      <sz val="10.5"/>
      <color rgb="FF112233"/>
      <name val="等线"/>
      <charset val="134"/>
      <scheme val="minor"/>
    </font>
    <font>
      <sz val="9.75"/>
      <color rgb="FF808080"/>
      <name val="等线"/>
      <charset val="134"/>
      <scheme val="minor"/>
    </font>
    <font>
      <sz val="9.75"/>
      <color rgb="FF424242"/>
      <name val="等线"/>
      <charset val="134"/>
      <scheme val="minor"/>
    </font>
    <font>
      <b/>
      <sz val="9.75"/>
      <color rgb="FF112233"/>
      <name val="等线"/>
      <charset val="134"/>
      <scheme val="minor"/>
    </font>
    <font>
      <b/>
      <sz val="9.75"/>
      <color rgb="FF424242"/>
      <name val="等线"/>
      <charset val="134"/>
      <scheme val="minor"/>
    </font>
    <font>
      <b/>
      <sz val="9.75"/>
      <color rgb="FF9E9E9E"/>
      <name val="等线"/>
      <charset val="134"/>
      <scheme val="minor"/>
    </font>
    <font>
      <sz val="9.75"/>
      <color rgb="FF9E9E9E"/>
      <name val="等线"/>
      <charset val="134"/>
      <scheme val="minor"/>
    </font>
    <font>
      <b/>
      <sz val="9.75"/>
      <color rgb="FFF76964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sz val="9"/>
      <color rgb="FF373C43"/>
      <name val="等线"/>
      <charset val="134"/>
      <scheme val="minor"/>
    </font>
    <font>
      <b/>
      <sz val="10.5"/>
      <color rgb="FF4556B0"/>
      <name val="等线"/>
      <charset val="134"/>
      <scheme val="minor"/>
    </font>
    <font>
      <sz val="9"/>
      <color rgb="FF8F959E"/>
      <name val="等线"/>
      <charset val="134"/>
      <scheme val="minor"/>
    </font>
    <font>
      <b/>
      <sz val="9.75"/>
      <color rgb="FF4556B0"/>
      <name val="等线"/>
      <charset val="134"/>
      <scheme val="minor"/>
    </font>
    <font>
      <sz val="9.75"/>
      <color rgb="FF373C43"/>
      <name val="等线"/>
      <charset val="134"/>
      <scheme val="minor"/>
    </font>
    <font>
      <sz val="9.75"/>
      <color rgb="FFFFFFFF"/>
      <name val="等线"/>
      <charset val="134"/>
      <scheme val="minor"/>
    </font>
    <font>
      <sz val="9.75"/>
      <color rgb="FF112233"/>
      <name val="等线"/>
      <charset val="134"/>
      <scheme val="minor"/>
    </font>
    <font>
      <b/>
      <sz val="9.75"/>
      <color rgb="FFFFFFFF"/>
      <name val="等线"/>
      <charset val="134"/>
      <scheme val="minor"/>
    </font>
    <font>
      <sz val="9.75"/>
      <color rgb="FF38761E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1F2329"/>
      <name val="Calibri"/>
      <charset val="134"/>
    </font>
    <font>
      <b/>
      <sz val="9.75"/>
      <color rgb="FF1F2329"/>
      <name val="Calibri"/>
      <charset val="134"/>
    </font>
    <font>
      <b/>
      <u/>
      <sz val="9.75"/>
      <color theme="10"/>
      <name val="Calibri"/>
      <charset val="134"/>
    </font>
    <font>
      <u/>
      <sz val="9.75"/>
      <color theme="10"/>
      <name val="Calibri"/>
      <charset val="134"/>
    </font>
  </fonts>
  <fills count="45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FF7F8E"/>
        <bgColor indexed="64"/>
      </patternFill>
    </fill>
    <fill>
      <patternFill patternType="solid">
        <fgColor rgb="FF4E64D7"/>
        <bgColor indexed="64"/>
      </patternFill>
    </fill>
    <fill>
      <patternFill patternType="solid">
        <fgColor rgb="FFFD8F29"/>
        <bgColor indexed="64"/>
      </patternFill>
    </fill>
    <fill>
      <patternFill patternType="solid">
        <fgColor rgb="FF00D6B9"/>
        <bgColor indexed="64"/>
      </patternFill>
    </fill>
    <fill>
      <patternFill patternType="solid">
        <fgColor rgb="FF7A91DF"/>
        <bgColor indexed="64"/>
      </patternFill>
    </fill>
    <fill>
      <patternFill patternType="solid">
        <fgColor rgb="FFDEE1FF"/>
        <bgColor indexed="64"/>
      </patternFill>
    </fill>
    <fill>
      <patternFill patternType="solid">
        <fgColor rgb="FFEDEEF6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D9F5D6"/>
      </left>
      <right style="thin">
        <color rgb="FFD9F5D6"/>
      </right>
      <top style="thin">
        <color rgb="FFD9F5D6"/>
      </top>
      <bottom style="thin">
        <color rgb="FFD9F5D6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7F8E"/>
      </top>
      <bottom/>
      <diagonal/>
    </border>
    <border>
      <left/>
      <right/>
      <top style="thin">
        <color rgb="FF5167D0"/>
      </top>
      <bottom/>
      <diagonal/>
    </border>
    <border>
      <left style="thin">
        <color rgb="FFFFCF97"/>
      </left>
      <right/>
      <top style="thin">
        <color rgb="FFE6E6E6"/>
      </top>
      <bottom/>
      <diagonal/>
    </border>
    <border>
      <left style="thin">
        <color rgb="FFDEE0E3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EAEAEA"/>
      </top>
      <bottom style="thin">
        <color rgb="FFEAEAEA"/>
      </bottom>
      <diagonal/>
    </border>
    <border>
      <left style="thin">
        <color rgb="FFDEE0E3"/>
      </left>
      <right/>
      <top style="thin">
        <color rgb="FFEBEAFF"/>
      </top>
      <bottom style="thin">
        <color rgb="FFEBEAFF"/>
      </bottom>
      <diagonal/>
    </border>
    <border>
      <left/>
      <right/>
      <top style="thin">
        <color rgb="FFEBEAFF"/>
      </top>
      <bottom style="thin">
        <color rgb="FFEBEAFF"/>
      </bottom>
      <diagonal/>
    </border>
    <border>
      <left style="thin">
        <color rgb="FFE1EAFF"/>
      </left>
      <right/>
      <top style="thin">
        <color rgb="FFEBEAFF"/>
      </top>
      <bottom style="thin">
        <color rgb="FFEBEA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4" borderId="28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5" borderId="31" applyNumberFormat="0" applyAlignment="0" applyProtection="0">
      <alignment vertical="center"/>
    </xf>
    <xf numFmtId="0" fontId="44" fillId="16" borderId="32" applyNumberFormat="0" applyAlignment="0" applyProtection="0">
      <alignment vertical="center"/>
    </xf>
    <xf numFmtId="0" fontId="45" fillId="16" borderId="31" applyNumberFormat="0" applyAlignment="0" applyProtection="0">
      <alignment vertical="center"/>
    </xf>
    <xf numFmtId="0" fontId="46" fillId="17" borderId="33" applyNumberFormat="0" applyAlignment="0" applyProtection="0">
      <alignment vertical="center"/>
    </xf>
    <xf numFmtId="0" fontId="47" fillId="0" borderId="34" applyNumberFormat="0" applyFill="0" applyAlignment="0" applyProtection="0">
      <alignment vertical="center"/>
    </xf>
    <xf numFmtId="0" fontId="48" fillId="0" borderId="35" applyNumberFormat="0" applyFill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4" fontId="0" fillId="0" borderId="0" xfId="0" applyNumberFormat="1"/>
    <xf numFmtId="0" fontId="3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0" fontId="7" fillId="0" borderId="0" xfId="0" applyFont="1" applyAlignment="1"/>
    <xf numFmtId="49" fontId="2" fillId="0" borderId="0" xfId="0" applyNumberFormat="1" applyFont="1" applyAlignment="1"/>
    <xf numFmtId="176" fontId="0" fillId="0" borderId="0" xfId="0" applyNumberForma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3" borderId="8" xfId="0" applyFont="1" applyFill="1" applyBorder="1" applyAlignment="1">
      <alignment vertical="center"/>
    </xf>
    <xf numFmtId="0" fontId="10" fillId="3" borderId="8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2" fillId="0" borderId="0" xfId="0" applyFont="1" applyAlignment="1"/>
    <xf numFmtId="0" fontId="10" fillId="0" borderId="0" xfId="0" applyFont="1" applyAlignment="1"/>
    <xf numFmtId="0" fontId="12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10" fontId="11" fillId="0" borderId="10" xfId="0" applyNumberFormat="1" applyFont="1" applyBorder="1" applyAlignment="1">
      <alignment horizontal="left" vertical="center"/>
    </xf>
    <xf numFmtId="14" fontId="11" fillId="0" borderId="10" xfId="0" applyNumberFormat="1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/>
    </xf>
    <xf numFmtId="176" fontId="15" fillId="0" borderId="11" xfId="0" applyNumberFormat="1" applyFont="1" applyBorder="1" applyAlignment="1">
      <alignment horizontal="center" vertical="center"/>
    </xf>
    <xf numFmtId="176" fontId="16" fillId="0" borderId="11" xfId="0" applyNumberFormat="1" applyFont="1" applyBorder="1" applyAlignment="1"/>
    <xf numFmtId="176" fontId="14" fillId="0" borderId="11" xfId="0" applyNumberFormat="1" applyFont="1" applyBorder="1" applyAlignment="1">
      <alignment horizontal="center" vertical="center"/>
    </xf>
    <xf numFmtId="176" fontId="17" fillId="0" borderId="13" xfId="0" applyNumberFormat="1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176" fontId="18" fillId="0" borderId="14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176" fontId="14" fillId="0" borderId="15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176" fontId="11" fillId="0" borderId="11" xfId="0" applyNumberFormat="1" applyFont="1" applyBorder="1" applyAlignment="1">
      <alignment horizontal="left" vertical="center"/>
    </xf>
    <xf numFmtId="176" fontId="13" fillId="0" borderId="13" xfId="0" applyNumberFormat="1" applyFont="1" applyBorder="1" applyAlignment="1">
      <alignment horizontal="left" vertical="center"/>
    </xf>
    <xf numFmtId="10" fontId="11" fillId="0" borderId="11" xfId="0" applyNumberFormat="1" applyFont="1" applyBorder="1" applyAlignment="1">
      <alignment horizontal="left" vertical="center"/>
    </xf>
    <xf numFmtId="14" fontId="11" fillId="0" borderId="11" xfId="0" applyNumberFormat="1" applyFont="1" applyBorder="1" applyAlignment="1">
      <alignment horizontal="left" vertical="center"/>
    </xf>
    <xf numFmtId="176" fontId="14" fillId="0" borderId="12" xfId="0" applyNumberFormat="1" applyFont="1" applyBorder="1" applyAlignment="1">
      <alignment horizontal="center" vertical="center"/>
    </xf>
    <xf numFmtId="176" fontId="19" fillId="0" borderId="11" xfId="0" applyNumberFormat="1" applyFont="1" applyBorder="1" applyAlignment="1">
      <alignment horizontal="center"/>
    </xf>
    <xf numFmtId="176" fontId="20" fillId="0" borderId="9" xfId="0" applyNumberFormat="1" applyFont="1" applyBorder="1" applyAlignment="1">
      <alignment horizontal="left" vertical="center"/>
    </xf>
    <xf numFmtId="176" fontId="20" fillId="0" borderId="16" xfId="0" applyNumberFormat="1" applyFont="1" applyBorder="1" applyAlignment="1">
      <alignment horizontal="left" vertical="center"/>
    </xf>
    <xf numFmtId="176" fontId="20" fillId="0" borderId="10" xfId="0" applyNumberFormat="1" applyFont="1" applyBorder="1" applyAlignment="1">
      <alignment horizontal="left" vertical="center"/>
    </xf>
    <xf numFmtId="0" fontId="2" fillId="0" borderId="11" xfId="0" applyFont="1" applyBorder="1" applyAlignment="1"/>
    <xf numFmtId="0" fontId="18" fillId="0" borderId="15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176" fontId="20" fillId="0" borderId="11" xfId="0" applyNumberFormat="1" applyFont="1" applyBorder="1" applyAlignment="1">
      <alignment horizontal="left" vertical="center"/>
    </xf>
    <xf numFmtId="0" fontId="11" fillId="0" borderId="11" xfId="0" applyFont="1" applyBorder="1" applyAlignment="1">
      <alignment horizontal="left"/>
    </xf>
    <xf numFmtId="10" fontId="11" fillId="0" borderId="11" xfId="0" applyNumberFormat="1" applyFont="1" applyBorder="1" applyAlignment="1">
      <alignment horizontal="left"/>
    </xf>
    <xf numFmtId="14" fontId="11" fillId="0" borderId="11" xfId="0" applyNumberFormat="1" applyFont="1" applyBorder="1" applyAlignment="1">
      <alignment horizontal="left"/>
    </xf>
    <xf numFmtId="0" fontId="14" fillId="5" borderId="14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3" fontId="18" fillId="0" borderId="17" xfId="0" applyNumberFormat="1" applyFont="1" applyBorder="1" applyAlignment="1">
      <alignment horizontal="left" vertical="center"/>
    </xf>
    <xf numFmtId="0" fontId="18" fillId="3" borderId="14" xfId="0" applyFont="1" applyFill="1" applyBorder="1" applyAlignment="1">
      <alignment horizontal="center" vertical="center"/>
    </xf>
    <xf numFmtId="3" fontId="17" fillId="0" borderId="16" xfId="0" applyNumberFormat="1" applyFont="1" applyBorder="1" applyAlignment="1">
      <alignment horizontal="left"/>
    </xf>
    <xf numFmtId="176" fontId="21" fillId="6" borderId="18" xfId="0" applyNumberFormat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0" fontId="16" fillId="0" borderId="14" xfId="0" applyFont="1" applyBorder="1" applyAlignment="1">
      <alignment horizontal="left"/>
    </xf>
    <xf numFmtId="0" fontId="18" fillId="0" borderId="11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176" fontId="19" fillId="0" borderId="0" xfId="0" applyNumberFormat="1" applyFont="1" applyAlignment="1">
      <alignment horizontal="center"/>
    </xf>
    <xf numFmtId="0" fontId="22" fillId="7" borderId="19" xfId="0" applyFont="1" applyFill="1" applyBorder="1" applyAlignment="1">
      <alignment horizontal="center" vertical="center"/>
    </xf>
    <xf numFmtId="0" fontId="22" fillId="8" borderId="20" xfId="0" applyFont="1" applyFill="1" applyBorder="1" applyAlignment="1">
      <alignment horizontal="center" vertical="center"/>
    </xf>
    <xf numFmtId="0" fontId="22" fillId="8" borderId="21" xfId="0" applyFont="1" applyFill="1" applyBorder="1" applyAlignment="1">
      <alignment horizontal="center" vertical="center"/>
    </xf>
    <xf numFmtId="0" fontId="22" fillId="8" borderId="22" xfId="0" applyFont="1" applyFill="1" applyBorder="1" applyAlignment="1">
      <alignment horizontal="center" vertical="center"/>
    </xf>
    <xf numFmtId="10" fontId="22" fillId="8" borderId="21" xfId="0" applyNumberFormat="1" applyFont="1" applyFill="1" applyBorder="1" applyAlignment="1">
      <alignment horizontal="center" vertical="center"/>
    </xf>
    <xf numFmtId="14" fontId="22" fillId="8" borderId="21" xfId="0" applyNumberFormat="1" applyFont="1" applyFill="1" applyBorder="1" applyAlignment="1">
      <alignment horizontal="center" vertical="center"/>
    </xf>
    <xf numFmtId="0" fontId="22" fillId="9" borderId="21" xfId="0" applyFont="1" applyFill="1" applyBorder="1" applyAlignment="1">
      <alignment horizontal="center" vertical="center"/>
    </xf>
    <xf numFmtId="177" fontId="23" fillId="10" borderId="0" xfId="0" applyNumberFormat="1" applyFont="1" applyFill="1" applyAlignment="1">
      <alignment horizontal="center" vertical="center"/>
    </xf>
    <xf numFmtId="178" fontId="24" fillId="11" borderId="0" xfId="0" applyNumberFormat="1" applyFont="1" applyFill="1" applyAlignment="1">
      <alignment horizontal="center" vertical="center"/>
    </xf>
    <xf numFmtId="49" fontId="25" fillId="12" borderId="23" xfId="0" applyNumberFormat="1" applyFont="1" applyFill="1" applyBorder="1" applyAlignment="1">
      <alignment horizontal="left" vertical="center" wrapText="1"/>
    </xf>
    <xf numFmtId="14" fontId="26" fillId="12" borderId="0" xfId="0" applyNumberFormat="1" applyFont="1" applyFill="1" applyAlignment="1">
      <alignment horizontal="center" vertical="center"/>
    </xf>
    <xf numFmtId="14" fontId="26" fillId="12" borderId="0" xfId="0" applyNumberFormat="1" applyFont="1" applyFill="1" applyAlignment="1">
      <alignment horizontal="center" vertical="center" wrapText="1"/>
    </xf>
    <xf numFmtId="10" fontId="26" fillId="12" borderId="0" xfId="0" applyNumberFormat="1" applyFont="1" applyFill="1" applyAlignment="1">
      <alignment horizontal="center" vertical="center" wrapText="1"/>
    </xf>
    <xf numFmtId="178" fontId="27" fillId="12" borderId="0" xfId="0" applyNumberFormat="1" applyFont="1" applyFill="1" applyAlignment="1">
      <alignment horizontal="center" vertical="center"/>
    </xf>
    <xf numFmtId="49" fontId="25" fillId="13" borderId="0" xfId="0" applyNumberFormat="1" applyFont="1" applyFill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178" fontId="28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78" fontId="29" fillId="0" borderId="0" xfId="0" applyNumberFormat="1" applyFont="1" applyAlignment="1"/>
    <xf numFmtId="0" fontId="29" fillId="0" borderId="0" xfId="0" applyFont="1" applyAlignment="1"/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/>
    <xf numFmtId="0" fontId="28" fillId="0" borderId="0" xfId="0" applyFont="1" applyAlignment="1">
      <alignment vertical="center"/>
    </xf>
    <xf numFmtId="49" fontId="25" fillId="12" borderId="25" xfId="0" applyNumberFormat="1" applyFont="1" applyFill="1" applyBorder="1" applyAlignment="1">
      <alignment horizontal="left" vertical="center" wrapText="1"/>
    </xf>
    <xf numFmtId="0" fontId="27" fillId="12" borderId="0" xfId="0" applyFont="1" applyFill="1" applyAlignment="1">
      <alignment horizontal="center" vertical="center"/>
    </xf>
    <xf numFmtId="14" fontId="27" fillId="12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/>
    <xf numFmtId="178" fontId="1" fillId="12" borderId="26" xfId="0" applyNumberFormat="1" applyFont="1" applyFill="1" applyBorder="1" applyAlignment="1">
      <alignment horizontal="center" vertical="center"/>
    </xf>
    <xf numFmtId="178" fontId="1" fillId="12" borderId="27" xfId="0" applyNumberFormat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0" borderId="24" xfId="0" applyFont="1" applyBorder="1" applyAlignment="1">
      <alignment vertical="center" wrapText="1"/>
    </xf>
    <xf numFmtId="178" fontId="32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14" fontId="2" fillId="0" borderId="0" xfId="0" applyNumberFormat="1" applyFont="1" applyAlignment="1"/>
    <xf numFmtId="0" fontId="2" fillId="0" borderId="24" xfId="0" applyFont="1" applyBorder="1" applyAlignment="1">
      <alignment vertical="center"/>
    </xf>
    <xf numFmtId="178" fontId="29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76964"/>
        </patternFill>
      </fill>
    </dxf>
    <dxf>
      <fill>
        <patternFill patternType="solid">
          <bgColor rgb="FFD9F5D6"/>
        </patternFill>
      </fill>
    </dxf>
    <dxf>
      <fill>
        <patternFill patternType="solid">
          <bgColor rgb="FFFAD3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3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76200</xdr:colOff>
      <xdr:row>0</xdr:row>
      <xdr:rowOff>95250</xdr:rowOff>
    </xdr:from>
    <xdr:to>
      <xdr:col>10</xdr:col>
      <xdr:colOff>733425</xdr:colOff>
      <xdr:row>18</xdr:row>
      <xdr:rowOff>180975</xdr:rowOff>
    </xdr:to>
    <xdr:pic>
      <xdr:nvPicPr>
        <xdr:cNvPr id="2" name="Picture 2" descr="SEFMNF"/>
        <xdr:cNvPicPr/>
      </xdr:nvPicPr>
      <xdr:blipFill>
        <a:blip r:embed="rId1"/>
        <a:stretch>
          <a:fillRect/>
        </a:stretch>
      </xdr:blipFill>
      <xdr:spPr>
        <a:xfrm>
          <a:off x="10843260" y="95250"/>
          <a:ext cx="2577465" cy="309753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38100</xdr:colOff>
      <xdr:row>1</xdr:row>
      <xdr:rowOff>38100</xdr:rowOff>
    </xdr:from>
    <xdr:to>
      <xdr:col>6</xdr:col>
      <xdr:colOff>-38100</xdr:colOff>
      <xdr:row>1</xdr:row>
      <xdr:rowOff>745490</xdr:rowOff>
    </xdr:to>
    <xdr:pic>
      <xdr:nvPicPr>
        <xdr:cNvPr id="21" name="Picture 21" descr="XAjxGJ"/>
        <xdr:cNvPicPr/>
      </xdr:nvPicPr>
      <xdr:blipFill>
        <a:blip r:embed="rId1"/>
        <a:stretch>
          <a:fillRect/>
        </a:stretch>
      </xdr:blipFill>
      <xdr:spPr>
        <a:xfrm>
          <a:off x="9845040" y="213360"/>
          <a:ext cx="1158240" cy="70739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2</xdr:row>
      <xdr:rowOff>0</xdr:rowOff>
    </xdr:from>
    <xdr:to>
      <xdr:col>6</xdr:col>
      <xdr:colOff>-38100</xdr:colOff>
      <xdr:row>2</xdr:row>
      <xdr:rowOff>0</xdr:rowOff>
    </xdr:to>
    <xdr:pic>
      <xdr:nvPicPr>
        <xdr:cNvPr id="39" name="Picture 39" descr="avQchw"/>
        <xdr:cNvPicPr/>
      </xdr:nvPicPr>
      <xdr:blipFill>
        <a:blip r:embed="rId2"/>
        <a:stretch>
          <a:fillRect/>
        </a:stretch>
      </xdr:blipFill>
      <xdr:spPr>
        <a:xfrm>
          <a:off x="9845040" y="920750"/>
          <a:ext cx="1158240" cy="0"/>
        </a:xfrm>
        <a:prstGeom prst="rect">
          <a:avLst/>
        </a:prstGeom>
      </xdr:spPr>
    </xdr:pic>
    <xdr:clientData fLocksWithSheet="0"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1.6235185185" refreshedBy="26242" recordCount="70">
  <cacheSource type="worksheet">
    <worksheetSource ref="A4:N29" sheet="项目管理"/>
  </cacheSource>
  <cacheFields count="14">
    <cacheField name="任务" numFmtId="0">
      <sharedItems containsBlank="1" count="60">
        <m/>
        <s v="一、底座与设计基线"/>
        <s v="【若依底座接入与品牌裁剪】"/>
        <s v="【首页驾驶舱基线】"/>
        <s v="【详细设计文档体系】"/>
        <s v="【完整数据库SQL与ER图】"/>
        <s v="【需求跟踪矩阵初始化】"/>
        <s v="二、配置主链恢复"/>
        <s v="【业务域字典治理】"/>
        <s v="【场景中心】"/>
        <s v="【费用中心】"/>
        <s v="【变量中心】"/>
        <s v="【规则中心】"/>
        <s v="【阶梯费率与依据变量】"/>
        <s v="三、发布与治理恢复"/>
        <s v="【发布中心】"/>
        <s v="【版本差异与费用级视图】"/>
        <s v="【引用校验与删除保护】"/>
        <s v="【发布审计与回滚】"/>
        <s v="四、运行链与性能治理"/>
        <s v="【试算中心】"/>
        <s v="【正式核算与批量任务】"/>
        <s v="【结果台账与追溯】"/>
        <s v="【百万级性能优化】"/>
        <s v="【监控告警与通知】"/>
        <s v="【协力队派工】生成作业指令"/>
        <s v="【船舶动态(小程序)】"/>
        <s v="【工作台】"/>
        <s v="【大机对舱】"/>
        <s v="【清场确认】"/>
        <s v="【对垛确认-库管员】"/>
        <s v="【对垛确认-堆取料司机】"/>
        <s v="【清舱设备申请】"/>
        <s v="【车辆抽磅】"/>
        <s v="【车辆抽磅接口】"/>
        <s v="【车辆过磅记录】"/>
        <s v="【人员清舱】"/>
        <s v="【设备清舱台时】"/>
        <s v="【成垛确认】"/>
        <s v="【苫盖】"/>
        <s v="【货垛巡更】"/>
        <s v="【设备请假】"/>
        <s v="【设备报修】"/>
        <s v="【请假报修审核】"/>
        <s v="【中控流程确认】"/>
        <s v="【堆取料机运行记录】"/>
        <s v="【皮带运行记录】启停"/>
        <s v="【卸船机运行记录】"/>
        <s v="【门机运行记录】"/>
        <s v="【提醒】清舱、采样"/>
        <s v="【运行记录交接班自动处理job】"/>
        <s v="六、库场管理"/>
        <s v="【入库理货票确认】"/>
        <s v="【出入库记录】"/>
        <s v="【库存查询】"/>
        <s v="【库存调整】"/>
        <s v="【每日库存】"/>
        <s v="【货垛牌管理】"/>
        <s v="七、接口开发"/>
        <s v="【卸船合同】"/>
      </sharedItems>
    </cacheField>
    <cacheField name="备注" numFmtId="0">
      <sharedItems containsBlank="1" count="28">
        <m/>
        <s v="建立产品重构新基线"/>
        <s v="完成独立仓库、品牌文案、导航精简"/>
        <s v="首页切换为企业级成本核算驾驶舱"/>
        <s v="补齐详细设计、缓存规范、验证规范、首页裁剪设计"/>
        <s v="形成完整建表语句、ER图、页面原型"/>
        <s v="将模板转为当前项目进展、测试、计划台账"/>
        <s v="按业务域 -&gt; 场景 -&gt; 费用 -&gt; 变量 -&gt; 规则 -&gt; 阶梯推进"/>
        <s v="独立系统字典并接入业务域下拉和筛选"/>
        <s v="恢复场景台账、表单、筛选、治理入口"/>
        <s v="恢复费用主数据、场景联动、影响因素摘要"/>
        <s v="恢复字典型、接口型、公式型变量工作台"/>
        <s v="实现费用主线规则台账与条件编辑"/>
        <s v="显式阶梯依据变量、区间规则、命中解释"/>
        <s v="恢复场景发布、版本快照和费用级差异视图"/>
        <s v="恢复发布说明、校验、版本台账、生效切换"/>
        <s v="支持场景总览差异和费用级差异筛选"/>
        <s v="恢复变量、费用、规则删除前实时预检查"/>
        <s v="补齐版本详情、回滚、发布审计链路"/>
        <s v="恢复试算、正式核算、批量任务与百万级性能治理"/>
        <s v="恢复试算、执行步骤时间线、单价来源解释"/>
        <s v="恢复按发布快照执行的单笔与批量核算"/>
        <s v="恢复独立结果台账、规则命中与阶梯解释"/>
        <s v="批量分片、异步执行、索引与缓存优化"/>
        <s v="恢复任务告警、失败订阅和通知治理"/>
        <s v="redis数据"/>
        <s v="xxl-job"/>
        <s v="跟踪网厅调用"/>
      </sharedItems>
    </cacheField>
    <cacheField name="负责人" numFmtId="0">
      <sharedItems containsBlank="1" count="13">
        <m/>
        <s v="GitFhw"/>
        <s v="吴秀晗"/>
        <s v="高杰"/>
        <s v="王昌泽"/>
        <s v="胡兆稳"/>
        <s v="宁文龙"/>
        <s v="矫淑宏"/>
        <s v="苏浩南"/>
        <s v="林凤晟"/>
        <s v="刘瀚远"/>
        <s v="孙启明"/>
        <s v="张永菲"/>
      </sharedItems>
    </cacheField>
    <cacheField name="状态" numFmtId="0">
      <sharedItems containsBlank="1" count="24">
        <m/>
        <s v="已完成 ❇️"/>
        <s v="进行中 🚀"/>
        <s v="未开始 ⏳"/>
        <s v="开发完成👌"/>
        <s v="已延期 💥"/>
        <s v="进行中 🔛"/>
        <s v="使用下拉列表显示任务状态" u="1"/>
        <s v="待启动 💡" u="1"/>
        <s v="李光军" u="1"/>
        <s v="张永菲" u="1"/>
        <s v="林凤晟" u="1"/>
        <s v="刘瀚远" u="1"/>
        <s v="矫淑宏" u="1"/>
        <s v="孙佳明" u="1"/>
        <s v="孙启明" u="1"/>
        <s v="李斌" u="1"/>
        <s v="苏浩南" u="1"/>
        <s v="王昌泽" u="1"/>
        <s v="胡兆稳" u="1"/>
        <s v="宁文龙" u="1"/>
        <s v="吴秀晗" u="1"/>
        <s v="宋成志" u="1"/>
        <s v="高杰" u="1"/>
      </sharedItems>
    </cacheField>
    <cacheField name="预计开始时间" numFmtId="0">
      <sharedItems containsString="0" containsBlank="1" containsDate="1" containsMixedTypes="1" count="27">
        <m/>
        <d v="2026-03-30T00:00:00"/>
        <d v="2026-03-31T00:00:00"/>
        <d v="2026-04-01T00:00:00"/>
        <d v="2026-04-03T00:00:00"/>
        <d v="2026-04-08T00:00:00"/>
        <d v="2026-04-10T00:00:00"/>
        <d v="2026-04-15T00:00:00"/>
        <d v="2026-04-22T00:00:00"/>
        <d v="2026-04-24T00:00:00"/>
        <d v="2026-04-27T00:00:00"/>
        <d v="2026-05-06T00:00:00"/>
        <d v="2026-05-10T00:00:00"/>
        <d v="2026-05-15T00:00:00"/>
        <d v="2026-05-20T00:00:00"/>
        <d v="2026-05-25T00:00:00"/>
        <d v="2024-10-08T00:00:00"/>
        <d v="2024-09-18T00:00:00"/>
        <d v="2024-09-24T00:00:00"/>
        <d v="2024-09-28T00:00:00"/>
        <d v="2024-09-30T00:00:00"/>
        <d v="2024-10-14T00:00:00"/>
        <d v="2024-10-21T00:00:00"/>
        <d v="2024-10-28T00:00:00"/>
        <n v="45576"/>
        <d v="2024-10-11T00:00:00"/>
        <d v="2024-09-19T00:00:00"/>
      </sharedItems>
    </cacheField>
    <cacheField name="预计结束时间" numFmtId="0">
      <sharedItems containsString="0" containsBlank="1" containsDate="1" containsMixedTypes="1" count="29">
        <m/>
        <d v="2026-03-30T00:00:00"/>
        <d v="2026-04-21T00:00:00"/>
        <d v="2026-04-02T00:00:00"/>
        <d v="2026-04-07T00:00:00"/>
        <d v="2026-04-09T00:00:00"/>
        <d v="2026-04-14T00:00:00"/>
        <d v="2026-04-18T00:00:00"/>
        <d v="2026-05-08T00:00:00"/>
        <d v="2026-04-28T00:00:00"/>
        <d v="2026-04-30T00:00:00"/>
        <d v="2026-06-05T00:00:00"/>
        <d v="2026-05-12T00:00:00"/>
        <d v="2026-05-20T00:00:00"/>
        <d v="2026-05-23T00:00:00"/>
        <d v="2026-05-30T00:00:00"/>
        <d v="2024-10-10T00:00:00"/>
        <d v="2024-10-15T00:00:00"/>
        <d v="2024-09-22T00:00:00"/>
        <d v="2024-09-23T00:00:00"/>
        <d v="2024-09-29T00:00:00"/>
        <d v="2024-10-11T00:00:00"/>
        <d v="2024-10-18T00:00:00"/>
        <d v="2024-10-23T00:00:00"/>
        <d v="2024-10-25T00:00:00"/>
        <d v="2024-10-31T00:00:00"/>
        <n v="45596"/>
        <n v="45607"/>
        <d v="2024-09-30T00:00:00"/>
      </sharedItems>
    </cacheField>
    <cacheField name="工时预估" numFmtId="0">
      <sharedItems containsString="0" containsBlank="1" containsNumber="1" containsInteger="1" minValue="2" maxValue="23" count="9">
        <m/>
        <n v="2"/>
        <n v="7"/>
        <n v="4"/>
        <n v="5"/>
        <n v="23"/>
        <n v="3"/>
        <n v="20"/>
        <n v="11"/>
      </sharedItems>
    </cacheField>
    <cacheField name="工时_x000a_自然日" numFmtId="0">
      <sharedItems containsString="0" containsBlank="1" containsNumber="1" containsInteger="1" minValue="1" maxValue="120" count="15">
        <m/>
        <n v="1"/>
        <n v="3"/>
        <n v="7"/>
        <n v="9"/>
        <n v="12"/>
        <n v="31"/>
        <n v="11"/>
        <n v="2"/>
        <n v="4"/>
        <n v="5"/>
        <n v="23"/>
        <n v="120"/>
        <n v="20"/>
        <n v="112"/>
      </sharedItems>
    </cacheField>
    <cacheField name="工时_x000a_工作日" numFmtId="0">
      <sharedItems containsString="0" containsBlank="1" containsNumber="1" containsInteger="1" minValue="1" maxValue="35" count="14">
        <m/>
        <n v="1"/>
        <n v="3"/>
        <n v="5"/>
        <n v="7"/>
        <n v="10"/>
        <n v="23"/>
        <n v="9"/>
        <n v="6"/>
        <n v="4"/>
        <n v="8"/>
        <n v="18"/>
        <n v="15"/>
        <n v="35"/>
      </sharedItems>
    </cacheField>
    <cacheField name="完成度_x000a_ %" numFmtId="10">
      <sharedItems containsString="0" containsBlank="1" containsNumber="1" minValue="0" maxValue="1" count="5">
        <m/>
        <n v="1"/>
        <n v="0.15"/>
        <n v="0"/>
        <n v="0.868131868131868"/>
      </sharedItems>
    </cacheField>
    <cacheField name="实际_x000a_开始时间" numFmtId="14">
      <sharedItems containsString="0" containsBlank="1" containsNonDate="0" containsDate="1" minDate="2024-09-18T00:00:00" maxDate="2026-03-30T00:00:00" count="15">
        <m/>
        <d v="2026-03-30T00:00:00"/>
        <d v="2024-10-12T00:00:00"/>
        <d v="2024-09-24T00:00:00"/>
        <d v="2024-09-18T00:00:00"/>
        <d v="2024-10-08T00:00:00"/>
        <d v="2024-10-09T00:00:00"/>
        <d v="2024-10-10T00:00:00"/>
        <d v="2024-10-15T00:00:00"/>
        <d v="2024-10-11T00:00:00"/>
        <d v="2024-10-14T00:00:00"/>
        <d v="2024-10-21T00:00:00"/>
        <d v="2024-10-17T00:00:00"/>
        <d v="2024-10-22T00:00:00"/>
        <d v="2024-09-20T00:00:00"/>
      </sharedItems>
    </cacheField>
    <cacheField name="实际_x000a_结束时间" numFmtId="14">
      <sharedItems containsString="0" containsBlank="1" containsNonDate="0" containsDate="1" minDate="2024-09-22T00:00:00" maxDate="2026-03-30T00:00:00" count="15">
        <m/>
        <d v="2026-03-30T00:00:00"/>
        <d v="2024-10-10T00:00:00"/>
        <d v="2024-09-22T00:00:00"/>
        <d v="2024-10-12T00:00:00"/>
        <d v="2024-10-15T00:00:00"/>
        <d v="2024-10-16T00:00:00"/>
        <d v="2024-10-11T00:00:00"/>
        <d v="2024-10-22T00:00:00"/>
        <d v="2024-10-25T00:00:00"/>
        <d v="2024-10-18T00:00:00"/>
        <d v="2024-11-28T00:00:00"/>
        <d v="2024-11-07T00:00:00"/>
        <d v="2024-10-17T00:00:00"/>
        <d v="2024-09-23T00:00:00"/>
      </sharedItems>
    </cacheField>
    <cacheField name="测试人" numFmtId="0">
      <sharedItems containsBlank="1" count="5">
        <m/>
        <s v="田华"/>
        <s v="孙启明"/>
        <s v="孙佳明"/>
        <s v="赵添志"/>
      </sharedItems>
    </cacheField>
    <cacheField name="开始时间" numFmtId="0">
      <sharedItems containsString="0" containsBlank="1" containsNonDate="0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1.6235185185" refreshedBy="26242" recordCount="70">
  <cacheSource type="worksheet">
    <worksheetSource ref="A4:N29" sheet="项目管理"/>
  </cacheSource>
  <cacheFields count="14">
    <cacheField name="任务" numFmtId="0">
      <sharedItems containsBlank="1" count="60">
        <m/>
        <s v="一、底座与设计基线"/>
        <s v="【若依底座接入与品牌裁剪】"/>
        <s v="【首页驾驶舱基线】"/>
        <s v="【详细设计文档体系】"/>
        <s v="【完整数据库SQL与ER图】"/>
        <s v="【需求跟踪矩阵初始化】"/>
        <s v="二、配置主链恢复"/>
        <s v="【业务域字典治理】"/>
        <s v="【场景中心】"/>
        <s v="【费用中心】"/>
        <s v="【变量中心】"/>
        <s v="【规则中心】"/>
        <s v="【阶梯费率与依据变量】"/>
        <s v="三、发布与治理恢复"/>
        <s v="【发布中心】"/>
        <s v="【版本差异与费用级视图】"/>
        <s v="【引用校验与删除保护】"/>
        <s v="【发布审计与回滚】"/>
        <s v="四、运行链与性能治理"/>
        <s v="【试算中心】"/>
        <s v="【正式核算与批量任务】"/>
        <s v="【结果台账与追溯】"/>
        <s v="【百万级性能优化】"/>
        <s v="【监控告警与通知】"/>
        <s v="【协力队派工】生成作业指令"/>
        <s v="【船舶动态(小程序)】"/>
        <s v="【工作台】"/>
        <s v="【大机对舱】"/>
        <s v="【清场确认】"/>
        <s v="【对垛确认-库管员】"/>
        <s v="【对垛确认-堆取料司机】"/>
        <s v="【清舱设备申请】"/>
        <s v="【车辆抽磅】"/>
        <s v="【车辆抽磅接口】"/>
        <s v="【车辆过磅记录】"/>
        <s v="【人员清舱】"/>
        <s v="【设备清舱台时】"/>
        <s v="【成垛确认】"/>
        <s v="【苫盖】"/>
        <s v="【货垛巡更】"/>
        <s v="【设备请假】"/>
        <s v="【设备报修】"/>
        <s v="【请假报修审核】"/>
        <s v="【中控流程确认】"/>
        <s v="【堆取料机运行记录】"/>
        <s v="【皮带运行记录】启停"/>
        <s v="【卸船机运行记录】"/>
        <s v="【门机运行记录】"/>
        <s v="【提醒】清舱、采样"/>
        <s v="【运行记录交接班自动处理job】"/>
        <s v="六、库场管理"/>
        <s v="【入库理货票确认】"/>
        <s v="【出入库记录】"/>
        <s v="【库存查询】"/>
        <s v="【库存调整】"/>
        <s v="【每日库存】"/>
        <s v="【货垛牌管理】"/>
        <s v="七、接口开发"/>
        <s v="【卸船合同】"/>
      </sharedItems>
    </cacheField>
    <cacheField name="备注" numFmtId="0">
      <sharedItems containsBlank="1" count="28">
        <m/>
        <s v="建立产品重构新基线"/>
        <s v="完成独立仓库、品牌文案、导航精简"/>
        <s v="首页切换为企业级成本核算驾驶舱"/>
        <s v="补齐详细设计、缓存规范、验证规范、首页裁剪设计"/>
        <s v="形成完整建表语句、ER图、页面原型"/>
        <s v="将模板转为当前项目进展、测试、计划台账"/>
        <s v="按业务域 -&gt; 场景 -&gt; 费用 -&gt; 变量 -&gt; 规则 -&gt; 阶梯推进"/>
        <s v="独立系统字典并接入业务域下拉和筛选"/>
        <s v="恢复场景台账、表单、筛选、治理入口"/>
        <s v="恢复费用主数据、场景联动、影响因素摘要"/>
        <s v="恢复字典型、接口型、公式型变量工作台"/>
        <s v="实现费用主线规则台账与条件编辑"/>
        <s v="显式阶梯依据变量、区间规则、命中解释"/>
        <s v="恢复场景发布、版本快照和费用级差异视图"/>
        <s v="恢复发布说明、校验、版本台账、生效切换"/>
        <s v="支持场景总览差异和费用级差异筛选"/>
        <s v="恢复变量、费用、规则删除前实时预检查"/>
        <s v="补齐版本详情、回滚、发布审计链路"/>
        <s v="恢复试算、正式核算、批量任务与百万级性能治理"/>
        <s v="恢复试算、执行步骤时间线、单价来源解释"/>
        <s v="恢复按发布快照执行的单笔与批量核算"/>
        <s v="恢复独立结果台账、规则命中与阶梯解释"/>
        <s v="批量分片、异步执行、索引与缓存优化"/>
        <s v="恢复任务告警、失败订阅和通知治理"/>
        <s v="redis数据"/>
        <s v="xxl-job"/>
        <s v="跟踪网厅调用"/>
      </sharedItems>
    </cacheField>
    <cacheField name="负责人" numFmtId="0">
      <sharedItems containsBlank="1" count="13">
        <m/>
        <s v="GitFhw"/>
        <s v="吴秀晗"/>
        <s v="高杰"/>
        <s v="王昌泽"/>
        <s v="胡兆稳"/>
        <s v="宁文龙"/>
        <s v="矫淑宏"/>
        <s v="苏浩南"/>
        <s v="林凤晟"/>
        <s v="刘瀚远"/>
        <s v="孙启明"/>
        <s v="张永菲"/>
      </sharedItems>
    </cacheField>
    <cacheField name="状态" numFmtId="0">
      <sharedItems containsBlank="1" count="7">
        <m/>
        <s v="已完成 ❇️"/>
        <s v="进行中 🚀"/>
        <s v="未开始 ⏳"/>
        <s v="开发完成👌"/>
        <s v="已延期 💥"/>
        <s v="进行中 🔛"/>
      </sharedItems>
    </cacheField>
    <cacheField name="预计开始时间" numFmtId="0">
      <sharedItems containsString="0" containsBlank="1" containsDate="1" containsMixedTypes="1" count="27">
        <m/>
        <d v="2026-03-30T00:00:00"/>
        <d v="2026-03-31T00:00:00"/>
        <d v="2026-04-01T00:00:00"/>
        <d v="2026-04-03T00:00:00"/>
        <d v="2026-04-08T00:00:00"/>
        <d v="2026-04-10T00:00:00"/>
        <d v="2026-04-15T00:00:00"/>
        <d v="2026-04-22T00:00:00"/>
        <d v="2026-04-24T00:00:00"/>
        <d v="2026-04-27T00:00:00"/>
        <d v="2026-05-06T00:00:00"/>
        <d v="2026-05-10T00:00:00"/>
        <d v="2026-05-15T00:00:00"/>
        <d v="2026-05-20T00:00:00"/>
        <d v="2026-05-25T00:00:00"/>
        <d v="2024-10-08T00:00:00"/>
        <d v="2024-09-18T00:00:00"/>
        <d v="2024-09-24T00:00:00"/>
        <d v="2024-09-28T00:00:00"/>
        <d v="2024-09-30T00:00:00"/>
        <d v="2024-10-14T00:00:00"/>
        <d v="2024-10-21T00:00:00"/>
        <d v="2024-10-28T00:00:00"/>
        <n v="45576"/>
        <d v="2024-10-11T00:00:00"/>
        <d v="2024-09-19T00:00:00"/>
      </sharedItems>
    </cacheField>
    <cacheField name="预计结束时间" numFmtId="0">
      <sharedItems containsString="0" containsBlank="1" containsDate="1" containsMixedTypes="1" count="29">
        <m/>
        <d v="2026-03-30T00:00:00"/>
        <d v="2026-04-21T00:00:00"/>
        <d v="2026-04-02T00:00:00"/>
        <d v="2026-04-07T00:00:00"/>
        <d v="2026-04-09T00:00:00"/>
        <d v="2026-04-14T00:00:00"/>
        <d v="2026-04-18T00:00:00"/>
        <d v="2026-05-08T00:00:00"/>
        <d v="2026-04-28T00:00:00"/>
        <d v="2026-04-30T00:00:00"/>
        <d v="2026-06-05T00:00:00"/>
        <d v="2026-05-12T00:00:00"/>
        <d v="2026-05-20T00:00:00"/>
        <d v="2026-05-23T00:00:00"/>
        <d v="2026-05-30T00:00:00"/>
        <d v="2024-10-10T00:00:00"/>
        <d v="2024-10-15T00:00:00"/>
        <d v="2024-09-22T00:00:00"/>
        <d v="2024-09-23T00:00:00"/>
        <d v="2024-09-29T00:00:00"/>
        <d v="2024-10-11T00:00:00"/>
        <d v="2024-10-18T00:00:00"/>
        <d v="2024-10-23T00:00:00"/>
        <d v="2024-10-25T00:00:00"/>
        <d v="2024-10-31T00:00:00"/>
        <n v="45596"/>
        <n v="45607"/>
        <d v="2024-09-30T00:00:00"/>
      </sharedItems>
    </cacheField>
    <cacheField name="工时预估" numFmtId="0">
      <sharedItems containsString="0" containsBlank="1" containsNumber="1" containsInteger="1" minValue="2" maxValue="23" count="9">
        <m/>
        <n v="2"/>
        <n v="7"/>
        <n v="4"/>
        <n v="5"/>
        <n v="23"/>
        <n v="3"/>
        <n v="20"/>
        <n v="11"/>
      </sharedItems>
    </cacheField>
    <cacheField name="工时_x000a_自然日" numFmtId="0">
      <sharedItems containsString="0" containsBlank="1" containsNumber="1" containsInteger="1" minValue="1" maxValue="120" count="15">
        <m/>
        <n v="1"/>
        <n v="3"/>
        <n v="7"/>
        <n v="9"/>
        <n v="12"/>
        <n v="31"/>
        <n v="11"/>
        <n v="2"/>
        <n v="4"/>
        <n v="5"/>
        <n v="23"/>
        <n v="120"/>
        <n v="20"/>
        <n v="112"/>
      </sharedItems>
    </cacheField>
    <cacheField name="工时_x000a_工作日" numFmtId="0">
      <sharedItems containsString="0" containsBlank="1" containsNumber="1" containsInteger="1" minValue="1" maxValue="35" count="14">
        <m/>
        <n v="1"/>
        <n v="3"/>
        <n v="5"/>
        <n v="7"/>
        <n v="10"/>
        <n v="23"/>
        <n v="9"/>
        <n v="6"/>
        <n v="4"/>
        <n v="8"/>
        <n v="18"/>
        <n v="15"/>
        <n v="35"/>
      </sharedItems>
    </cacheField>
    <cacheField name="完成度_x000a_ %" numFmtId="10">
      <sharedItems containsString="0" containsBlank="1" containsNumber="1" minValue="0" maxValue="1" count="5">
        <m/>
        <n v="1"/>
        <n v="0.15"/>
        <n v="0"/>
        <n v="0.868131868131868"/>
      </sharedItems>
    </cacheField>
    <cacheField name="实际_x000a_开始时间" numFmtId="14">
      <sharedItems containsString="0" containsBlank="1" containsNonDate="0" containsDate="1" minDate="2024-09-18T00:00:00" maxDate="2026-03-30T00:00:00" count="15">
        <m/>
        <d v="2026-03-30T00:00:00"/>
        <d v="2024-10-12T00:00:00"/>
        <d v="2024-09-24T00:00:00"/>
        <d v="2024-09-18T00:00:00"/>
        <d v="2024-10-08T00:00:00"/>
        <d v="2024-10-09T00:00:00"/>
        <d v="2024-10-10T00:00:00"/>
        <d v="2024-10-15T00:00:00"/>
        <d v="2024-10-11T00:00:00"/>
        <d v="2024-10-14T00:00:00"/>
        <d v="2024-10-21T00:00:00"/>
        <d v="2024-10-17T00:00:00"/>
        <d v="2024-10-22T00:00:00"/>
        <d v="2024-09-20T00:00:00"/>
      </sharedItems>
    </cacheField>
    <cacheField name="实际_x000a_结束时间" numFmtId="14">
      <sharedItems containsString="0" containsBlank="1" containsNonDate="0" containsDate="1" minDate="2024-09-22T00:00:00" maxDate="2026-03-30T00:00:00" count="15">
        <m/>
        <d v="2026-03-30T00:00:00"/>
        <d v="2024-10-10T00:00:00"/>
        <d v="2024-09-22T00:00:00"/>
        <d v="2024-10-12T00:00:00"/>
        <d v="2024-10-15T00:00:00"/>
        <d v="2024-10-16T00:00:00"/>
        <d v="2024-10-11T00:00:00"/>
        <d v="2024-10-22T00:00:00"/>
        <d v="2024-10-25T00:00:00"/>
        <d v="2024-10-18T00:00:00"/>
        <d v="2024-11-28T00:00:00"/>
        <d v="2024-11-07T00:00:00"/>
        <d v="2024-10-17T00:00:00"/>
        <d v="2024-09-23T00:00:00"/>
      </sharedItems>
    </cacheField>
    <cacheField name="测试人" numFmtId="0">
      <sharedItems containsBlank="1" count="5">
        <m/>
        <s v="田华"/>
        <s v="孙启明"/>
        <s v="孙佳明"/>
        <s v="赵添志"/>
      </sharedItems>
    </cacheField>
    <cacheField name="开始时间" numFmtId="0">
      <sharedItems containsString="0" containsBlank="1" containsNonDate="0" count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1.6235185185" refreshedBy="26242" recordCount="70">
  <cacheSource type="worksheet">
    <worksheetSource ref="A4:N29" sheet="项目管理"/>
  </cacheSource>
  <cacheFields count="14">
    <cacheField name="任务" numFmtId="0">
      <sharedItems containsBlank="1" count="60">
        <m/>
        <s v="一、底座与设计基线"/>
        <s v="【若依底座接入与品牌裁剪】"/>
        <s v="【首页驾驶舱基线】"/>
        <s v="【详细设计文档体系】"/>
        <s v="【完整数据库SQL与ER图】"/>
        <s v="【需求跟踪矩阵初始化】"/>
        <s v="二、配置主链恢复"/>
        <s v="【业务域字典治理】"/>
        <s v="【场景中心】"/>
        <s v="【费用中心】"/>
        <s v="【变量中心】"/>
        <s v="【规则中心】"/>
        <s v="【阶梯费率与依据变量】"/>
        <s v="三、发布与治理恢复"/>
        <s v="【发布中心】"/>
        <s v="【版本差异与费用级视图】"/>
        <s v="【引用校验与删除保护】"/>
        <s v="【发布审计与回滚】"/>
        <s v="四、运行链与性能治理"/>
        <s v="【试算中心】"/>
        <s v="【正式核算与批量任务】"/>
        <s v="【结果台账与追溯】"/>
        <s v="【百万级性能优化】"/>
        <s v="【监控告警与通知】"/>
        <s v="【协力队派工】生成作业指令"/>
        <s v="【船舶动态(小程序)】"/>
        <s v="【工作台】"/>
        <s v="【大机对舱】"/>
        <s v="【清场确认】"/>
        <s v="【对垛确认-库管员】"/>
        <s v="【对垛确认-堆取料司机】"/>
        <s v="【清舱设备申请】"/>
        <s v="【车辆抽磅】"/>
        <s v="【车辆抽磅接口】"/>
        <s v="【车辆过磅记录】"/>
        <s v="【人员清舱】"/>
        <s v="【设备清舱台时】"/>
        <s v="【成垛确认】"/>
        <s v="【苫盖】"/>
        <s v="【货垛巡更】"/>
        <s v="【设备请假】"/>
        <s v="【设备报修】"/>
        <s v="【请假报修审核】"/>
        <s v="【中控流程确认】"/>
        <s v="【堆取料机运行记录】"/>
        <s v="【皮带运行记录】启停"/>
        <s v="【卸船机运行记录】"/>
        <s v="【门机运行记录】"/>
        <s v="【提醒】清舱、采样"/>
        <s v="【运行记录交接班自动处理job】"/>
        <s v="六、库场管理"/>
        <s v="【入库理货票确认】"/>
        <s v="【出入库记录】"/>
        <s v="【库存查询】"/>
        <s v="【库存调整】"/>
        <s v="【每日库存】"/>
        <s v="【货垛牌管理】"/>
        <s v="七、接口开发"/>
        <s v="【卸船合同】"/>
      </sharedItems>
    </cacheField>
    <cacheField name="备注" numFmtId="0">
      <sharedItems containsBlank="1" count="28">
        <m/>
        <s v="建立产品重构新基线"/>
        <s v="完成独立仓库、品牌文案、导航精简"/>
        <s v="首页切换为企业级成本核算驾驶舱"/>
        <s v="补齐详细设计、缓存规范、验证规范、首页裁剪设计"/>
        <s v="形成完整建表语句、ER图、页面原型"/>
        <s v="将模板转为当前项目进展、测试、计划台账"/>
        <s v="按业务域 -&gt; 场景 -&gt; 费用 -&gt; 变量 -&gt; 规则 -&gt; 阶梯推进"/>
        <s v="独立系统字典并接入业务域下拉和筛选"/>
        <s v="恢复场景台账、表单、筛选、治理入口"/>
        <s v="恢复费用主数据、场景联动、影响因素摘要"/>
        <s v="恢复字典型、接口型、公式型变量工作台"/>
        <s v="实现费用主线规则台账与条件编辑"/>
        <s v="显式阶梯依据变量、区间规则、命中解释"/>
        <s v="恢复场景发布、版本快照和费用级差异视图"/>
        <s v="恢复发布说明、校验、版本台账、生效切换"/>
        <s v="支持场景总览差异和费用级差异筛选"/>
        <s v="恢复变量、费用、规则删除前实时预检查"/>
        <s v="补齐版本详情、回滚、发布审计链路"/>
        <s v="恢复试算、正式核算、批量任务与百万级性能治理"/>
        <s v="恢复试算、执行步骤时间线、单价来源解释"/>
        <s v="恢复按发布快照执行的单笔与批量核算"/>
        <s v="恢复独立结果台账、规则命中与阶梯解释"/>
        <s v="批量分片、异步执行、索引与缓存优化"/>
        <s v="恢复任务告警、失败订阅和通知治理"/>
        <s v="redis数据"/>
        <s v="xxl-job"/>
        <s v="跟踪网厅调用"/>
      </sharedItems>
    </cacheField>
    <cacheField name="负责人" numFmtId="0">
      <sharedItems containsBlank="1" count="13">
        <m/>
        <s v="GitFhw"/>
        <s v="吴秀晗"/>
        <s v="高杰"/>
        <s v="王昌泽"/>
        <s v="胡兆稳"/>
        <s v="宁文龙"/>
        <s v="矫淑宏"/>
        <s v="苏浩南"/>
        <s v="林凤晟"/>
        <s v="刘瀚远"/>
        <s v="孙启明"/>
        <s v="张永菲"/>
      </sharedItems>
    </cacheField>
    <cacheField name="状态" numFmtId="0">
      <sharedItems containsBlank="1" count="24">
        <m/>
        <s v="已完成 ❇️"/>
        <s v="进行中 🚀"/>
        <s v="未开始 ⏳"/>
        <s v="开发完成👌"/>
        <s v="已延期 💥"/>
        <s v="进行中 🔛"/>
        <s v="使用下拉列表显示任务状态" u="1"/>
        <s v="待启动 💡" u="1"/>
        <s v="李光军" u="1"/>
        <s v="张永菲" u="1"/>
        <s v="林凤晟" u="1"/>
        <s v="刘瀚远" u="1"/>
        <s v="矫淑宏" u="1"/>
        <s v="孙佳明" u="1"/>
        <s v="孙启明" u="1"/>
        <s v="李斌" u="1"/>
        <s v="苏浩南" u="1"/>
        <s v="王昌泽" u="1"/>
        <s v="胡兆稳" u="1"/>
        <s v="宁文龙" u="1"/>
        <s v="吴秀晗" u="1"/>
        <s v="宋成志" u="1"/>
        <s v="高杰" u="1"/>
      </sharedItems>
    </cacheField>
    <cacheField name="预计开始时间" numFmtId="0">
      <sharedItems containsString="0" containsBlank="1" containsDate="1" containsMixedTypes="1" count="27">
        <m/>
        <d v="2026-03-30T00:00:00"/>
        <d v="2026-03-31T00:00:00"/>
        <d v="2026-04-01T00:00:00"/>
        <d v="2026-04-03T00:00:00"/>
        <d v="2026-04-08T00:00:00"/>
        <d v="2026-04-10T00:00:00"/>
        <d v="2026-04-15T00:00:00"/>
        <d v="2026-04-22T00:00:00"/>
        <d v="2026-04-24T00:00:00"/>
        <d v="2026-04-27T00:00:00"/>
        <d v="2026-05-06T00:00:00"/>
        <d v="2026-05-10T00:00:00"/>
        <d v="2026-05-15T00:00:00"/>
        <d v="2026-05-20T00:00:00"/>
        <d v="2026-05-25T00:00:00"/>
        <d v="2024-10-08T00:00:00"/>
        <d v="2024-09-18T00:00:00"/>
        <d v="2024-09-24T00:00:00"/>
        <d v="2024-09-28T00:00:00"/>
        <d v="2024-09-30T00:00:00"/>
        <d v="2024-10-14T00:00:00"/>
        <d v="2024-10-21T00:00:00"/>
        <d v="2024-10-28T00:00:00"/>
        <n v="45576"/>
        <d v="2024-10-11T00:00:00"/>
        <d v="2024-09-19T00:00:00"/>
      </sharedItems>
    </cacheField>
    <cacheField name="预计结束时间" numFmtId="0">
      <sharedItems containsString="0" containsBlank="1" containsDate="1" containsMixedTypes="1" count="29">
        <m/>
        <d v="2026-03-30T00:00:00"/>
        <d v="2026-04-21T00:00:00"/>
        <d v="2026-04-02T00:00:00"/>
        <d v="2026-04-07T00:00:00"/>
        <d v="2026-04-09T00:00:00"/>
        <d v="2026-04-14T00:00:00"/>
        <d v="2026-04-18T00:00:00"/>
        <d v="2026-05-08T00:00:00"/>
        <d v="2026-04-28T00:00:00"/>
        <d v="2026-04-30T00:00:00"/>
        <d v="2026-06-05T00:00:00"/>
        <d v="2026-05-12T00:00:00"/>
        <d v="2026-05-20T00:00:00"/>
        <d v="2026-05-23T00:00:00"/>
        <d v="2026-05-30T00:00:00"/>
        <d v="2024-10-10T00:00:00"/>
        <d v="2024-10-15T00:00:00"/>
        <d v="2024-09-22T00:00:00"/>
        <d v="2024-09-23T00:00:00"/>
        <d v="2024-09-29T00:00:00"/>
        <d v="2024-10-11T00:00:00"/>
        <d v="2024-10-18T00:00:00"/>
        <d v="2024-10-23T00:00:00"/>
        <d v="2024-10-25T00:00:00"/>
        <d v="2024-10-31T00:00:00"/>
        <n v="45596"/>
        <n v="45607"/>
        <d v="2024-09-30T00:00:00"/>
      </sharedItems>
    </cacheField>
    <cacheField name="工时预估" numFmtId="0">
      <sharedItems containsString="0" containsBlank="1" containsNumber="1" containsInteger="1" minValue="2" maxValue="23" count="9">
        <m/>
        <n v="2"/>
        <n v="7"/>
        <n v="4"/>
        <n v="5"/>
        <n v="23"/>
        <n v="3"/>
        <n v="20"/>
        <n v="11"/>
      </sharedItems>
    </cacheField>
    <cacheField name="工时_x000a_自然日" numFmtId="0">
      <sharedItems containsString="0" containsBlank="1" containsNumber="1" containsInteger="1" minValue="1" maxValue="120" count="15">
        <m/>
        <n v="1"/>
        <n v="3"/>
        <n v="7"/>
        <n v="9"/>
        <n v="12"/>
        <n v="31"/>
        <n v="11"/>
        <n v="2"/>
        <n v="4"/>
        <n v="5"/>
        <n v="23"/>
        <n v="120"/>
        <n v="20"/>
        <n v="112"/>
      </sharedItems>
    </cacheField>
    <cacheField name="工时_x000a_工作日" numFmtId="0">
      <sharedItems containsString="0" containsBlank="1" containsNumber="1" containsInteger="1" minValue="1" maxValue="35" count="14">
        <m/>
        <n v="1"/>
        <n v="3"/>
        <n v="5"/>
        <n v="7"/>
        <n v="10"/>
        <n v="23"/>
        <n v="9"/>
        <n v="6"/>
        <n v="4"/>
        <n v="8"/>
        <n v="18"/>
        <n v="15"/>
        <n v="35"/>
      </sharedItems>
    </cacheField>
    <cacheField name="完成度_x000a_ %" numFmtId="10">
      <sharedItems containsString="0" containsBlank="1" containsNumber="1" minValue="0" maxValue="1" count="5">
        <m/>
        <n v="1"/>
        <n v="0.15"/>
        <n v="0"/>
        <n v="0.868131868131868"/>
      </sharedItems>
    </cacheField>
    <cacheField name="实际_x000a_开始时间" numFmtId="14">
      <sharedItems containsString="0" containsBlank="1" containsNonDate="0" containsDate="1" minDate="2024-09-18T00:00:00" maxDate="2026-03-30T00:00:00" count="15">
        <m/>
        <d v="2026-03-30T00:00:00"/>
        <d v="2024-10-12T00:00:00"/>
        <d v="2024-09-24T00:00:00"/>
        <d v="2024-09-18T00:00:00"/>
        <d v="2024-10-08T00:00:00"/>
        <d v="2024-10-09T00:00:00"/>
        <d v="2024-10-10T00:00:00"/>
        <d v="2024-10-15T00:00:00"/>
        <d v="2024-10-11T00:00:00"/>
        <d v="2024-10-14T00:00:00"/>
        <d v="2024-10-21T00:00:00"/>
        <d v="2024-10-17T00:00:00"/>
        <d v="2024-10-22T00:00:00"/>
        <d v="2024-09-20T00:00:00"/>
      </sharedItems>
    </cacheField>
    <cacheField name="实际_x000a_结束时间" numFmtId="14">
      <sharedItems containsString="0" containsBlank="1" containsNonDate="0" containsDate="1" minDate="2024-09-22T00:00:00" maxDate="2026-03-30T00:00:00" count="15">
        <m/>
        <d v="2026-03-30T00:00:00"/>
        <d v="2024-10-10T00:00:00"/>
        <d v="2024-09-22T00:00:00"/>
        <d v="2024-10-12T00:00:00"/>
        <d v="2024-10-15T00:00:00"/>
        <d v="2024-10-16T00:00:00"/>
        <d v="2024-10-11T00:00:00"/>
        <d v="2024-10-22T00:00:00"/>
        <d v="2024-10-25T00:00:00"/>
        <d v="2024-10-18T00:00:00"/>
        <d v="2024-11-28T00:00:00"/>
        <d v="2024-11-07T00:00:00"/>
        <d v="2024-10-17T00:00:00"/>
        <d v="2024-09-23T00:00:00"/>
      </sharedItems>
    </cacheField>
    <cacheField name="测试人" numFmtId="0">
      <sharedItems containsBlank="1" count="5">
        <m/>
        <s v="田华"/>
        <s v="孙启明"/>
        <s v="孙佳明"/>
        <s v="赵添志"/>
      </sharedItems>
    </cacheField>
    <cacheField name="开始时间" numFmtId="0">
      <sharedItems containsString="0" containsBlank="1" containsNonDate="0" count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1.6235185185" refreshedBy="26242" recordCount="70">
  <cacheSource type="worksheet">
    <worksheetSource ref="A4:N29" sheet="项目管理"/>
  </cacheSource>
  <cacheFields count="14">
    <cacheField name="任务" numFmtId="0">
      <sharedItems containsBlank="1" count="60">
        <m/>
        <s v="一、底座与设计基线"/>
        <s v="【若依底座接入与品牌裁剪】"/>
        <s v="【首页驾驶舱基线】"/>
        <s v="【详细设计文档体系】"/>
        <s v="【完整数据库SQL与ER图】"/>
        <s v="【需求跟踪矩阵初始化】"/>
        <s v="二、配置主链恢复"/>
        <s v="【业务域字典治理】"/>
        <s v="【场景中心】"/>
        <s v="【费用中心】"/>
        <s v="【变量中心】"/>
        <s v="【规则中心】"/>
        <s v="【阶梯费率与依据变量】"/>
        <s v="三、发布与治理恢复"/>
        <s v="【发布中心】"/>
        <s v="【版本差异与费用级视图】"/>
        <s v="【引用校验与删除保护】"/>
        <s v="【发布审计与回滚】"/>
        <s v="四、运行链与性能治理"/>
        <s v="【试算中心】"/>
        <s v="【正式核算与批量任务】"/>
        <s v="【结果台账与追溯】"/>
        <s v="【百万级性能优化】"/>
        <s v="【监控告警与通知】"/>
        <s v="【协力队派工】生成作业指令"/>
        <s v="【船舶动态(小程序)】"/>
        <s v="【工作台】"/>
        <s v="【大机对舱】"/>
        <s v="【清场确认】"/>
        <s v="【对垛确认-库管员】"/>
        <s v="【对垛确认-堆取料司机】"/>
        <s v="【清舱设备申请】"/>
        <s v="【车辆抽磅】"/>
        <s v="【车辆抽磅接口】"/>
        <s v="【车辆过磅记录】"/>
        <s v="【人员清舱】"/>
        <s v="【设备清舱台时】"/>
        <s v="【成垛确认】"/>
        <s v="【苫盖】"/>
        <s v="【货垛巡更】"/>
        <s v="【设备请假】"/>
        <s v="【设备报修】"/>
        <s v="【请假报修审核】"/>
        <s v="【中控流程确认】"/>
        <s v="【堆取料机运行记录】"/>
        <s v="【皮带运行记录】启停"/>
        <s v="【卸船机运行记录】"/>
        <s v="【门机运行记录】"/>
        <s v="【提醒】清舱、采样"/>
        <s v="【运行记录交接班自动处理job】"/>
        <s v="六、库场管理"/>
        <s v="【入库理货票确认】"/>
        <s v="【出入库记录】"/>
        <s v="【库存查询】"/>
        <s v="【库存调整】"/>
        <s v="【每日库存】"/>
        <s v="【货垛牌管理】"/>
        <s v="七、接口开发"/>
        <s v="【卸船合同】"/>
      </sharedItems>
    </cacheField>
    <cacheField name="备注" numFmtId="0">
      <sharedItems containsBlank="1" count="28">
        <m/>
        <s v="建立产品重构新基线"/>
        <s v="完成独立仓库、品牌文案、导航精简"/>
        <s v="首页切换为企业级成本核算驾驶舱"/>
        <s v="补齐详细设计、缓存规范、验证规范、首页裁剪设计"/>
        <s v="形成完整建表语句、ER图、页面原型"/>
        <s v="将模板转为当前项目进展、测试、计划台账"/>
        <s v="按业务域 -&gt; 场景 -&gt; 费用 -&gt; 变量 -&gt; 规则 -&gt; 阶梯推进"/>
        <s v="独立系统字典并接入业务域下拉和筛选"/>
        <s v="恢复场景台账、表单、筛选、治理入口"/>
        <s v="恢复费用主数据、场景联动、影响因素摘要"/>
        <s v="恢复字典型、接口型、公式型变量工作台"/>
        <s v="实现费用主线规则台账与条件编辑"/>
        <s v="显式阶梯依据变量、区间规则、命中解释"/>
        <s v="恢复场景发布、版本快照和费用级差异视图"/>
        <s v="恢复发布说明、校验、版本台账、生效切换"/>
        <s v="支持场景总览差异和费用级差异筛选"/>
        <s v="恢复变量、费用、规则删除前实时预检查"/>
        <s v="补齐版本详情、回滚、发布审计链路"/>
        <s v="恢复试算、正式核算、批量任务与百万级性能治理"/>
        <s v="恢复试算、执行步骤时间线、单价来源解释"/>
        <s v="恢复按发布快照执行的单笔与批量核算"/>
        <s v="恢复独立结果台账、规则命中与阶梯解释"/>
        <s v="批量分片、异步执行、索引与缓存优化"/>
        <s v="恢复任务告警、失败订阅和通知治理"/>
        <s v="redis数据"/>
        <s v="xxl-job"/>
        <s v="跟踪网厅调用"/>
      </sharedItems>
    </cacheField>
    <cacheField name="负责人" numFmtId="0">
      <sharedItems containsBlank="1" count="13">
        <m/>
        <s v="GitFhw"/>
        <s v="吴秀晗"/>
        <s v="高杰"/>
        <s v="王昌泽"/>
        <s v="胡兆稳"/>
        <s v="宁文龙"/>
        <s v="矫淑宏"/>
        <s v="苏浩南"/>
        <s v="林凤晟"/>
        <s v="刘瀚远"/>
        <s v="孙启明"/>
        <s v="张永菲"/>
      </sharedItems>
    </cacheField>
    <cacheField name="状态" numFmtId="0">
      <sharedItems containsBlank="1" count="7">
        <m/>
        <s v="已完成 ❇️"/>
        <s v="进行中 🚀"/>
        <s v="未开始 ⏳"/>
        <s v="开发完成👌"/>
        <s v="已延期 💥"/>
        <s v="进行中 🔛"/>
      </sharedItems>
    </cacheField>
    <cacheField name="预计开始时间" numFmtId="0">
      <sharedItems containsString="0" containsBlank="1" containsDate="1" containsMixedTypes="1" count="27">
        <m/>
        <d v="2026-03-30T00:00:00"/>
        <d v="2026-03-31T00:00:00"/>
        <d v="2026-04-01T00:00:00"/>
        <d v="2026-04-03T00:00:00"/>
        <d v="2026-04-08T00:00:00"/>
        <d v="2026-04-10T00:00:00"/>
        <d v="2026-04-15T00:00:00"/>
        <d v="2026-04-22T00:00:00"/>
        <d v="2026-04-24T00:00:00"/>
        <d v="2026-04-27T00:00:00"/>
        <d v="2026-05-06T00:00:00"/>
        <d v="2026-05-10T00:00:00"/>
        <d v="2026-05-15T00:00:00"/>
        <d v="2026-05-20T00:00:00"/>
        <d v="2026-05-25T00:00:00"/>
        <d v="2024-10-08T00:00:00"/>
        <d v="2024-09-18T00:00:00"/>
        <d v="2024-09-24T00:00:00"/>
        <d v="2024-09-28T00:00:00"/>
        <d v="2024-09-30T00:00:00"/>
        <d v="2024-10-14T00:00:00"/>
        <d v="2024-10-21T00:00:00"/>
        <d v="2024-10-28T00:00:00"/>
        <n v="45576"/>
        <d v="2024-10-11T00:00:00"/>
        <d v="2024-09-19T00:00:00"/>
      </sharedItems>
    </cacheField>
    <cacheField name="预计结束时间" numFmtId="0">
      <sharedItems containsString="0" containsBlank="1" containsDate="1" containsMixedTypes="1" count="29">
        <m/>
        <d v="2026-03-30T00:00:00"/>
        <d v="2026-04-21T00:00:00"/>
        <d v="2026-04-02T00:00:00"/>
        <d v="2026-04-07T00:00:00"/>
        <d v="2026-04-09T00:00:00"/>
        <d v="2026-04-14T00:00:00"/>
        <d v="2026-04-18T00:00:00"/>
        <d v="2026-05-08T00:00:00"/>
        <d v="2026-04-28T00:00:00"/>
        <d v="2026-04-30T00:00:00"/>
        <d v="2026-06-05T00:00:00"/>
        <d v="2026-05-12T00:00:00"/>
        <d v="2026-05-20T00:00:00"/>
        <d v="2026-05-23T00:00:00"/>
        <d v="2026-05-30T00:00:00"/>
        <d v="2024-10-10T00:00:00"/>
        <d v="2024-10-15T00:00:00"/>
        <d v="2024-09-22T00:00:00"/>
        <d v="2024-09-23T00:00:00"/>
        <d v="2024-09-29T00:00:00"/>
        <d v="2024-10-11T00:00:00"/>
        <d v="2024-10-18T00:00:00"/>
        <d v="2024-10-23T00:00:00"/>
        <d v="2024-10-25T00:00:00"/>
        <d v="2024-10-31T00:00:00"/>
        <n v="45596"/>
        <n v="45607"/>
        <d v="2024-09-30T00:00:00"/>
      </sharedItems>
    </cacheField>
    <cacheField name="工时预估" numFmtId="0">
      <sharedItems containsString="0" containsBlank="1" containsNumber="1" containsInteger="1" minValue="2" maxValue="23" count="9">
        <m/>
        <n v="2"/>
        <n v="7"/>
        <n v="4"/>
        <n v="5"/>
        <n v="23"/>
        <n v="3"/>
        <n v="20"/>
        <n v="11"/>
      </sharedItems>
    </cacheField>
    <cacheField name="工时_x000a_自然日" numFmtId="0">
      <sharedItems containsString="0" containsBlank="1" containsNumber="1" containsInteger="1" minValue="1" maxValue="120" count="15">
        <m/>
        <n v="1"/>
        <n v="3"/>
        <n v="7"/>
        <n v="9"/>
        <n v="12"/>
        <n v="31"/>
        <n v="11"/>
        <n v="2"/>
        <n v="4"/>
        <n v="5"/>
        <n v="23"/>
        <n v="120"/>
        <n v="20"/>
        <n v="112"/>
      </sharedItems>
    </cacheField>
    <cacheField name="工时_x000a_工作日" numFmtId="0">
      <sharedItems containsString="0" containsBlank="1" containsNumber="1" containsInteger="1" minValue="1" maxValue="35" count="14">
        <m/>
        <n v="1"/>
        <n v="3"/>
        <n v="5"/>
        <n v="7"/>
        <n v="10"/>
        <n v="23"/>
        <n v="9"/>
        <n v="6"/>
        <n v="4"/>
        <n v="8"/>
        <n v="18"/>
        <n v="15"/>
        <n v="35"/>
      </sharedItems>
    </cacheField>
    <cacheField name="完成度_x000a_ %" numFmtId="10">
      <sharedItems containsString="0" containsBlank="1" containsNumber="1" minValue="0" maxValue="1" count="5">
        <m/>
        <n v="1"/>
        <n v="0.15"/>
        <n v="0"/>
        <n v="0.868131868131868"/>
      </sharedItems>
    </cacheField>
    <cacheField name="实际_x000a_开始时间" numFmtId="14">
      <sharedItems containsString="0" containsBlank="1" containsNonDate="0" containsDate="1" minDate="2024-09-18T00:00:00" maxDate="2026-03-30T00:00:00" count="15">
        <m/>
        <d v="2026-03-30T00:00:00"/>
        <d v="2024-10-12T00:00:00"/>
        <d v="2024-09-24T00:00:00"/>
        <d v="2024-09-18T00:00:00"/>
        <d v="2024-10-08T00:00:00"/>
        <d v="2024-10-09T00:00:00"/>
        <d v="2024-10-10T00:00:00"/>
        <d v="2024-10-15T00:00:00"/>
        <d v="2024-10-11T00:00:00"/>
        <d v="2024-10-14T00:00:00"/>
        <d v="2024-10-21T00:00:00"/>
        <d v="2024-10-17T00:00:00"/>
        <d v="2024-10-22T00:00:00"/>
        <d v="2024-09-20T00:00:00"/>
      </sharedItems>
    </cacheField>
    <cacheField name="实际_x000a_结束时间" numFmtId="14">
      <sharedItems containsString="0" containsBlank="1" containsNonDate="0" containsDate="1" minDate="2024-09-22T00:00:00" maxDate="2026-03-30T00:00:00" count="15">
        <m/>
        <d v="2026-03-30T00:00:00"/>
        <d v="2024-10-10T00:00:00"/>
        <d v="2024-09-22T00:00:00"/>
        <d v="2024-10-12T00:00:00"/>
        <d v="2024-10-15T00:00:00"/>
        <d v="2024-10-16T00:00:00"/>
        <d v="2024-10-11T00:00:00"/>
        <d v="2024-10-22T00:00:00"/>
        <d v="2024-10-25T00:00:00"/>
        <d v="2024-10-18T00:00:00"/>
        <d v="2024-11-28T00:00:00"/>
        <d v="2024-11-07T00:00:00"/>
        <d v="2024-10-17T00:00:00"/>
        <d v="2024-09-23T00:00:00"/>
      </sharedItems>
    </cacheField>
    <cacheField name="测试人" numFmtId="0">
      <sharedItems containsBlank="1" count="5">
        <m/>
        <s v="田华"/>
        <s v="孙启明"/>
        <s v="孙佳明"/>
        <s v="赵添志"/>
      </sharedItems>
    </cacheField>
    <cacheField name="开始时间" numFmtId="0">
      <sharedItems containsString="0" containsBlank="1" containsNonDate="0" count="1">
        <m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 Table1" cacheId="0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B24:C25" firstHeaderRow="1" firstDataRow="1" firstDataCol="1"/>
  <pivotFields count="14">
    <pivotField dataField="1" compact="0" outline="0" showAll="0">
      <items count="61">
        <item x="0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ubtotalTop="0" showAll="0"/>
    <pivotField compact="0" outline="0" subtotalTop="0" showAll="0"/>
    <pivotField axis="axisRow" compact="0" outline="0" showAll="0">
      <items count="25">
        <item h="1" x="0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7"/>
        <item h="1" x="1"/>
        <item h="1" x="4"/>
        <item h="1" m="1" x="8"/>
        <item h="1" x="5"/>
        <item h="1" x="6"/>
        <item h="1" x="2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3"/>
  </rowFields>
  <rowItems count="1">
    <i t="grand">
      <x/>
    </i>
  </rowItems>
  <colItems count="1">
    <i/>
  </colItems>
  <dataFields count="1">
    <dataField name="计数项:任务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 Table2" cacheId="1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B12:B13" firstHeaderRow="1" firstDataRow="1" firstDataCol="0"/>
  <pivotFields count="14">
    <pivotField dataField="1" compact="0" outline="0" showAll="0">
      <items count="61">
        <item x="0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dataFields count="1">
    <dataField name="计数项:任务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 Table3" cacheId="2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E24:F26" firstHeaderRow="1" firstDataRow="2" firstDataCol="1"/>
  <pivotFields count="14">
    <pivotField dataField="1" compact="0" outline="0" showAll="0">
      <items count="61">
        <item x="0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ubtotalTop="0" showAll="0"/>
    <pivotField compact="0" outline="0" subtotalTop="0" showAll="0"/>
    <pivotField axis="axisCol" compact="0" outline="0" showAll="0">
      <items count="25">
        <item h="1" x="0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7"/>
        <item h="1" x="1"/>
        <item h="1" x="4"/>
        <item h="1" m="1" x="8"/>
        <item h="1" x="5"/>
        <item h="1" x="6"/>
        <item h="1" x="2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Items count="1">
    <i/>
  </rowItems>
  <colFields count="1">
    <field x="3"/>
  </colFields>
  <colItems count="1">
    <i t="grand">
      <x/>
    </i>
  </colItems>
  <dataFields count="1">
    <dataField name="计数项:任务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 Table4" cacheId="3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E12:F13" firstHeaderRow="0" firstDataRow="1" firstDataCol="0"/>
  <pivotFields count="14">
    <pivotField dataField="1" compact="0" outline="0" showAll="0">
      <items count="61">
        <item x="0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howAll="0"/>
    <pivotField compact="0" outline="0" showAll="0"/>
    <pivotField compact="0" outline="0" showAll="0"/>
    <pivotField dataField="1" compact="0" outline="0" showAll="0">
      <items count="10">
        <item x="0"/>
        <item x="6"/>
        <item x="1"/>
        <item x="2"/>
        <item x="3"/>
        <item x="4"/>
        <item x="5"/>
        <item x="7"/>
        <item x="8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任务数量统计" fld="0" subtotal="count" baseField="0" baseItem="0"/>
    <dataField name="总工时预估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feishu.cn/hc/zh-CN/articles/762129829042" TargetMode="Externa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ishu.cn/drive/home/?openTemplateCenter=gallery&amp;action=preview&amp;templateType=1&amp;id=7049270078684053506&amp;from=docs_bo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F197"/>
  <sheetViews>
    <sheetView tabSelected="1" workbookViewId="0">
      <selection activeCell="C12" sqref="C12"/>
    </sheetView>
  </sheetViews>
  <sheetFormatPr defaultColWidth="14" defaultRowHeight="13.2"/>
  <cols>
    <col min="1" max="1" width="35" customWidth="1"/>
    <col min="2" max="2" width="71" customWidth="1"/>
    <col min="3" max="3" width="13" customWidth="1"/>
    <col min="4" max="4" width="14" customWidth="1"/>
    <col min="5" max="5" width="15" customWidth="1"/>
    <col min="6" max="6" width="13" customWidth="1"/>
    <col min="7" max="7" width="20" hidden="1" customWidth="1"/>
    <col min="8" max="9" width="9" customWidth="1"/>
    <col min="10" max="11" width="10" customWidth="1"/>
    <col min="12" max="12" width="12" customWidth="1"/>
    <col min="13" max="13" width="9" customWidth="1"/>
    <col min="14" max="16" width="11" customWidth="1"/>
    <col min="17" max="136" width="5" customWidth="1"/>
  </cols>
  <sheetData>
    <row r="1" ht="13.8" spans="1:136">
      <c r="A1" s="39"/>
      <c r="B1" s="39"/>
      <c r="C1" s="39" t="s">
        <v>0</v>
      </c>
      <c r="D1" s="39" t="s">
        <v>1</v>
      </c>
      <c r="E1" s="40"/>
      <c r="F1" s="40" t="s">
        <v>2</v>
      </c>
      <c r="G1" s="40"/>
      <c r="H1" s="40"/>
      <c r="I1" s="40"/>
      <c r="J1" s="41"/>
      <c r="K1" s="42"/>
      <c r="L1" s="42"/>
      <c r="M1" s="40"/>
      <c r="N1" s="40"/>
      <c r="O1" s="40"/>
      <c r="P1" s="40"/>
      <c r="Q1" s="43"/>
      <c r="R1" s="44"/>
      <c r="S1" s="45"/>
      <c r="T1" s="46"/>
      <c r="U1" s="47"/>
      <c r="V1" s="45"/>
      <c r="W1" s="45"/>
      <c r="X1" s="48"/>
      <c r="Y1" s="49"/>
      <c r="Z1" s="49"/>
      <c r="AA1" s="50"/>
      <c r="AB1" s="51"/>
      <c r="AC1" s="49"/>
      <c r="AD1" s="52"/>
      <c r="AE1" s="49"/>
      <c r="AF1" s="49"/>
      <c r="AG1" s="43"/>
      <c r="AH1" s="49"/>
      <c r="AI1" s="49"/>
      <c r="AJ1" s="53"/>
      <c r="AK1" s="49"/>
      <c r="AL1" s="49"/>
      <c r="AM1" s="54"/>
      <c r="AN1" s="49"/>
      <c r="AO1" s="49"/>
      <c r="AP1" s="55"/>
      <c r="AQ1" s="49"/>
      <c r="AR1" s="49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</row>
    <row r="2" ht="13.8" spans="1:136">
      <c r="A2" s="57" t="s">
        <v>3</v>
      </c>
      <c r="B2" s="58"/>
      <c r="C2" s="58">
        <v>46111</v>
      </c>
      <c r="D2" s="59" t="s">
        <v>4</v>
      </c>
      <c r="E2" s="58"/>
      <c r="F2" s="58">
        <v>46178</v>
      </c>
      <c r="G2" s="58"/>
      <c r="H2" s="58"/>
      <c r="I2" s="58"/>
      <c r="J2" s="60" t="s">
        <v>5</v>
      </c>
      <c r="K2" s="61"/>
      <c r="L2" s="61"/>
      <c r="M2" s="58"/>
      <c r="N2" s="58"/>
      <c r="O2" s="58"/>
      <c r="P2" s="58"/>
      <c r="Q2" s="47"/>
      <c r="R2" s="62"/>
      <c r="S2" s="45"/>
      <c r="T2" s="63"/>
      <c r="U2" s="45"/>
      <c r="V2" s="45"/>
      <c r="W2" s="45"/>
      <c r="X2" s="64"/>
      <c r="Y2" s="65"/>
      <c r="Z2" s="66"/>
      <c r="AA2" s="67"/>
      <c r="AB2" s="67"/>
      <c r="AC2" s="68"/>
      <c r="AD2" s="69"/>
      <c r="AE2" s="69"/>
      <c r="AF2" s="69"/>
      <c r="AG2" s="65"/>
      <c r="AH2" s="65"/>
      <c r="AI2" s="65"/>
      <c r="AJ2" s="66"/>
      <c r="AK2" s="70"/>
      <c r="AL2" s="70"/>
      <c r="AM2" s="70"/>
      <c r="AN2" s="56"/>
      <c r="AO2" s="56"/>
      <c r="AP2" s="68"/>
      <c r="AQ2" s="69"/>
      <c r="AR2" s="69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</row>
    <row r="3" ht="13.8" spans="1:136">
      <c r="A3" s="57" t="s">
        <v>6</v>
      </c>
      <c r="B3" s="58"/>
      <c r="C3" s="58">
        <v>46111</v>
      </c>
      <c r="D3" s="59" t="s">
        <v>7</v>
      </c>
      <c r="E3" s="71"/>
      <c r="F3" s="71">
        <f>F2-C3</f>
        <v>67</v>
      </c>
      <c r="G3" s="71"/>
      <c r="H3" s="71"/>
      <c r="I3" s="71"/>
      <c r="J3" s="72"/>
      <c r="K3" s="73"/>
      <c r="L3" s="73"/>
      <c r="M3" s="71"/>
      <c r="N3" s="71"/>
      <c r="O3" s="71"/>
      <c r="P3" s="71"/>
      <c r="Q3" s="65"/>
      <c r="R3" s="74"/>
      <c r="S3" s="75" t="s">
        <v>8</v>
      </c>
      <c r="T3" s="76"/>
      <c r="U3" s="77"/>
      <c r="V3" s="75" t="s">
        <v>9</v>
      </c>
      <c r="W3" s="78"/>
      <c r="X3" s="79"/>
      <c r="Y3" s="75" t="s">
        <v>10</v>
      </c>
      <c r="Z3" s="80"/>
      <c r="AA3" s="67"/>
      <c r="AB3" s="67"/>
      <c r="AC3" s="81"/>
      <c r="AD3" s="75"/>
      <c r="AE3" s="75"/>
      <c r="AF3" s="82"/>
      <c r="AG3" s="83"/>
      <c r="AH3" s="75"/>
      <c r="AI3" s="75"/>
      <c r="AJ3" s="84"/>
      <c r="AK3" s="85"/>
      <c r="AL3" s="85"/>
      <c r="AM3" s="86"/>
      <c r="AN3" s="85"/>
      <c r="AO3" s="85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</row>
    <row r="4" spans="1:136">
      <c r="A4" s="87" t="s">
        <v>11</v>
      </c>
      <c r="B4" s="87" t="s">
        <v>12</v>
      </c>
      <c r="C4" s="87" t="s">
        <v>13</v>
      </c>
      <c r="D4" s="87" t="s">
        <v>14</v>
      </c>
      <c r="E4" s="88" t="s">
        <v>15</v>
      </c>
      <c r="F4" s="89" t="s">
        <v>16</v>
      </c>
      <c r="G4" s="89" t="s">
        <v>17</v>
      </c>
      <c r="H4" s="89" t="s">
        <v>18</v>
      </c>
      <c r="I4" s="90" t="s">
        <v>19</v>
      </c>
      <c r="J4" s="91" t="s">
        <v>20</v>
      </c>
      <c r="K4" s="92" t="s">
        <v>21</v>
      </c>
      <c r="L4" s="92" t="s">
        <v>22</v>
      </c>
      <c r="M4" s="93" t="s">
        <v>23</v>
      </c>
      <c r="N4" s="93" t="s">
        <v>24</v>
      </c>
      <c r="O4" s="93" t="s">
        <v>25</v>
      </c>
      <c r="P4" s="93" t="s">
        <v>26</v>
      </c>
      <c r="Q4" s="94">
        <f t="shared" ref="Q4:CB4" si="0">$C$2+COLUMN()-COLUMN($Q$4)</f>
        <v>46111</v>
      </c>
      <c r="R4" s="94">
        <f t="shared" si="0"/>
        <v>46112</v>
      </c>
      <c r="S4" s="94">
        <f t="shared" si="0"/>
        <v>46113</v>
      </c>
      <c r="T4" s="94">
        <f t="shared" si="0"/>
        <v>46114</v>
      </c>
      <c r="U4" s="94">
        <f t="shared" si="0"/>
        <v>46115</v>
      </c>
      <c r="V4" s="94">
        <f t="shared" si="0"/>
        <v>46116</v>
      </c>
      <c r="W4" s="94">
        <f t="shared" si="0"/>
        <v>46117</v>
      </c>
      <c r="X4" s="94">
        <f t="shared" si="0"/>
        <v>46118</v>
      </c>
      <c r="Y4" s="94">
        <f t="shared" si="0"/>
        <v>46119</v>
      </c>
      <c r="Z4" s="94">
        <f t="shared" si="0"/>
        <v>46120</v>
      </c>
      <c r="AA4" s="94">
        <f t="shared" si="0"/>
        <v>46121</v>
      </c>
      <c r="AB4" s="94">
        <f t="shared" si="0"/>
        <v>46122</v>
      </c>
      <c r="AC4" s="94">
        <f t="shared" si="0"/>
        <v>46123</v>
      </c>
      <c r="AD4" s="94">
        <f t="shared" si="0"/>
        <v>46124</v>
      </c>
      <c r="AE4" s="94">
        <f t="shared" si="0"/>
        <v>46125</v>
      </c>
      <c r="AF4" s="94">
        <f t="shared" si="0"/>
        <v>46126</v>
      </c>
      <c r="AG4" s="94">
        <f t="shared" si="0"/>
        <v>46127</v>
      </c>
      <c r="AH4" s="94">
        <f t="shared" si="0"/>
        <v>46128</v>
      </c>
      <c r="AI4" s="94">
        <f t="shared" si="0"/>
        <v>46129</v>
      </c>
      <c r="AJ4" s="94">
        <f t="shared" si="0"/>
        <v>46130</v>
      </c>
      <c r="AK4" s="94">
        <f t="shared" si="0"/>
        <v>46131</v>
      </c>
      <c r="AL4" s="94">
        <f t="shared" si="0"/>
        <v>46132</v>
      </c>
      <c r="AM4" s="94">
        <f t="shared" si="0"/>
        <v>46133</v>
      </c>
      <c r="AN4" s="94">
        <f t="shared" si="0"/>
        <v>46134</v>
      </c>
      <c r="AO4" s="94">
        <f t="shared" si="0"/>
        <v>46135</v>
      </c>
      <c r="AP4" s="94">
        <f t="shared" si="0"/>
        <v>46136</v>
      </c>
      <c r="AQ4" s="94">
        <f t="shared" si="0"/>
        <v>46137</v>
      </c>
      <c r="AR4" s="94">
        <f t="shared" si="0"/>
        <v>46138</v>
      </c>
      <c r="AS4" s="94">
        <f t="shared" si="0"/>
        <v>46139</v>
      </c>
      <c r="AT4" s="94">
        <f t="shared" si="0"/>
        <v>46140</v>
      </c>
      <c r="AU4" s="94">
        <f t="shared" si="0"/>
        <v>46141</v>
      </c>
      <c r="AV4" s="94">
        <f t="shared" si="0"/>
        <v>46142</v>
      </c>
      <c r="AW4" s="94">
        <f t="shared" si="0"/>
        <v>46143</v>
      </c>
      <c r="AX4" s="94">
        <f t="shared" si="0"/>
        <v>46144</v>
      </c>
      <c r="AY4" s="94">
        <f t="shared" si="0"/>
        <v>46145</v>
      </c>
      <c r="AZ4" s="94">
        <f t="shared" si="0"/>
        <v>46146</v>
      </c>
      <c r="BA4" s="94">
        <f t="shared" si="0"/>
        <v>46147</v>
      </c>
      <c r="BB4" s="94">
        <f t="shared" si="0"/>
        <v>46148</v>
      </c>
      <c r="BC4" s="94">
        <f t="shared" si="0"/>
        <v>46149</v>
      </c>
      <c r="BD4" s="94">
        <f t="shared" si="0"/>
        <v>46150</v>
      </c>
      <c r="BE4" s="94">
        <f t="shared" si="0"/>
        <v>46151</v>
      </c>
      <c r="BF4" s="94">
        <f t="shared" si="0"/>
        <v>46152</v>
      </c>
      <c r="BG4" s="94">
        <f t="shared" si="0"/>
        <v>46153</v>
      </c>
      <c r="BH4" s="94">
        <f t="shared" si="0"/>
        <v>46154</v>
      </c>
      <c r="BI4" s="94">
        <f t="shared" si="0"/>
        <v>46155</v>
      </c>
      <c r="BJ4" s="94">
        <f t="shared" si="0"/>
        <v>46156</v>
      </c>
      <c r="BK4" s="94">
        <f t="shared" si="0"/>
        <v>46157</v>
      </c>
      <c r="BL4" s="94">
        <f t="shared" si="0"/>
        <v>46158</v>
      </c>
      <c r="BM4" s="94">
        <f t="shared" si="0"/>
        <v>46159</v>
      </c>
      <c r="BN4" s="94">
        <f t="shared" si="0"/>
        <v>46160</v>
      </c>
      <c r="BO4" s="94">
        <f t="shared" si="0"/>
        <v>46161</v>
      </c>
      <c r="BP4" s="94">
        <f t="shared" si="0"/>
        <v>46162</v>
      </c>
      <c r="BQ4" s="94">
        <f t="shared" si="0"/>
        <v>46163</v>
      </c>
      <c r="BR4" s="94">
        <f t="shared" si="0"/>
        <v>46164</v>
      </c>
      <c r="BS4" s="94">
        <f t="shared" si="0"/>
        <v>46165</v>
      </c>
      <c r="BT4" s="94">
        <f t="shared" si="0"/>
        <v>46166</v>
      </c>
      <c r="BU4" s="94">
        <f t="shared" si="0"/>
        <v>46167</v>
      </c>
      <c r="BV4" s="94">
        <f t="shared" si="0"/>
        <v>46168</v>
      </c>
      <c r="BW4" s="94">
        <f t="shared" si="0"/>
        <v>46169</v>
      </c>
      <c r="BX4" s="94">
        <f t="shared" si="0"/>
        <v>46170</v>
      </c>
      <c r="BY4" s="94">
        <f t="shared" si="0"/>
        <v>46171</v>
      </c>
      <c r="BZ4" s="94">
        <f t="shared" si="0"/>
        <v>46172</v>
      </c>
      <c r="CA4" s="94">
        <f t="shared" si="0"/>
        <v>46173</v>
      </c>
      <c r="CB4" s="94">
        <f t="shared" si="0"/>
        <v>46174</v>
      </c>
      <c r="CC4" s="94">
        <f t="shared" ref="CC4:EF4" si="1">$C$2+COLUMN()-COLUMN($Q$4)</f>
        <v>46175</v>
      </c>
      <c r="CD4" s="94">
        <f t="shared" si="1"/>
        <v>46176</v>
      </c>
      <c r="CE4" s="94">
        <f t="shared" si="1"/>
        <v>46177</v>
      </c>
      <c r="CF4" s="94">
        <f t="shared" si="1"/>
        <v>46178</v>
      </c>
      <c r="CG4" s="94">
        <f t="shared" si="1"/>
        <v>46179</v>
      </c>
      <c r="CH4" s="94">
        <f t="shared" si="1"/>
        <v>46180</v>
      </c>
      <c r="CI4" s="94">
        <f t="shared" si="1"/>
        <v>46181</v>
      </c>
      <c r="CJ4" s="94">
        <f t="shared" si="1"/>
        <v>46182</v>
      </c>
      <c r="CK4" s="94">
        <f t="shared" si="1"/>
        <v>46183</v>
      </c>
      <c r="CL4" s="94">
        <f t="shared" si="1"/>
        <v>46184</v>
      </c>
      <c r="CM4" s="94">
        <f t="shared" si="1"/>
        <v>46185</v>
      </c>
      <c r="CN4" s="94">
        <f t="shared" si="1"/>
        <v>46186</v>
      </c>
      <c r="CO4" s="94">
        <f t="shared" si="1"/>
        <v>46187</v>
      </c>
      <c r="CP4" s="94">
        <f t="shared" si="1"/>
        <v>46188</v>
      </c>
      <c r="CQ4" s="94">
        <f t="shared" si="1"/>
        <v>46189</v>
      </c>
      <c r="CR4" s="94">
        <f t="shared" si="1"/>
        <v>46190</v>
      </c>
      <c r="CS4" s="94">
        <f t="shared" si="1"/>
        <v>46191</v>
      </c>
      <c r="CT4" s="94">
        <f t="shared" si="1"/>
        <v>46192</v>
      </c>
      <c r="CU4" s="94">
        <f t="shared" si="1"/>
        <v>46193</v>
      </c>
      <c r="CV4" s="94">
        <f t="shared" si="1"/>
        <v>46194</v>
      </c>
      <c r="CW4" s="94">
        <f t="shared" si="1"/>
        <v>46195</v>
      </c>
      <c r="CX4" s="94">
        <f t="shared" si="1"/>
        <v>46196</v>
      </c>
      <c r="CY4" s="94">
        <f t="shared" si="1"/>
        <v>46197</v>
      </c>
      <c r="CZ4" s="94">
        <f t="shared" si="1"/>
        <v>46198</v>
      </c>
      <c r="DA4" s="94">
        <f t="shared" si="1"/>
        <v>46199</v>
      </c>
      <c r="DB4" s="94">
        <f t="shared" si="1"/>
        <v>46200</v>
      </c>
      <c r="DC4" s="94">
        <f t="shared" si="1"/>
        <v>46201</v>
      </c>
      <c r="DD4" s="94">
        <f t="shared" si="1"/>
        <v>46202</v>
      </c>
      <c r="DE4" s="94">
        <f t="shared" si="1"/>
        <v>46203</v>
      </c>
      <c r="DF4" s="94">
        <f t="shared" si="1"/>
        <v>46204</v>
      </c>
      <c r="DG4" s="94">
        <f t="shared" si="1"/>
        <v>46205</v>
      </c>
      <c r="DH4" s="94">
        <f t="shared" si="1"/>
        <v>46206</v>
      </c>
      <c r="DI4" s="94">
        <f t="shared" si="1"/>
        <v>46207</v>
      </c>
      <c r="DJ4" s="94">
        <f t="shared" si="1"/>
        <v>46208</v>
      </c>
      <c r="DK4" s="94">
        <f t="shared" si="1"/>
        <v>46209</v>
      </c>
      <c r="DL4" s="94">
        <f t="shared" si="1"/>
        <v>46210</v>
      </c>
      <c r="DM4" s="94">
        <f t="shared" si="1"/>
        <v>46211</v>
      </c>
      <c r="DN4" s="94">
        <f t="shared" si="1"/>
        <v>46212</v>
      </c>
      <c r="DO4" s="94">
        <f t="shared" si="1"/>
        <v>46213</v>
      </c>
      <c r="DP4" s="94">
        <f t="shared" si="1"/>
        <v>46214</v>
      </c>
      <c r="DQ4" s="94">
        <f t="shared" si="1"/>
        <v>46215</v>
      </c>
      <c r="DR4" s="94">
        <f t="shared" si="1"/>
        <v>46216</v>
      </c>
      <c r="DS4" s="94">
        <f t="shared" si="1"/>
        <v>46217</v>
      </c>
      <c r="DT4" s="94">
        <f t="shared" si="1"/>
        <v>46218</v>
      </c>
      <c r="DU4" s="94">
        <f t="shared" si="1"/>
        <v>46219</v>
      </c>
      <c r="DV4" s="94">
        <f t="shared" si="1"/>
        <v>46220</v>
      </c>
      <c r="DW4" s="94">
        <f t="shared" si="1"/>
        <v>46221</v>
      </c>
      <c r="DX4" s="94">
        <f t="shared" si="1"/>
        <v>46222</v>
      </c>
      <c r="DY4" s="94">
        <f t="shared" si="1"/>
        <v>46223</v>
      </c>
      <c r="DZ4" s="94">
        <f t="shared" si="1"/>
        <v>46224</v>
      </c>
      <c r="EA4" s="94">
        <f t="shared" si="1"/>
        <v>46225</v>
      </c>
      <c r="EB4" s="94">
        <f t="shared" si="1"/>
        <v>46226</v>
      </c>
      <c r="EC4" s="94">
        <f t="shared" si="1"/>
        <v>46227</v>
      </c>
      <c r="ED4" s="94">
        <f t="shared" si="1"/>
        <v>46228</v>
      </c>
      <c r="EE4" s="94">
        <f t="shared" si="1"/>
        <v>46229</v>
      </c>
      <c r="EF4" s="94">
        <f t="shared" si="1"/>
        <v>46230</v>
      </c>
    </row>
    <row r="5" ht="18" customHeight="1" spans="1:136">
      <c r="A5" s="87"/>
      <c r="B5" s="87"/>
      <c r="C5" s="87"/>
      <c r="D5" s="87"/>
      <c r="E5" s="88"/>
      <c r="F5" s="89"/>
      <c r="G5" s="89"/>
      <c r="H5" s="89"/>
      <c r="I5" s="90"/>
      <c r="J5" s="91"/>
      <c r="K5" s="92"/>
      <c r="L5" s="92"/>
      <c r="M5" s="93"/>
      <c r="N5" s="93"/>
      <c r="O5" s="93"/>
      <c r="P5" s="93"/>
      <c r="Q5" s="95" t="str">
        <f t="shared" ref="Q5:CB5" si="2">RIGHT(TEXT($C$2+COLUMN()-COLUMN($Q$4),"aaaa"),1)</f>
        <v>一</v>
      </c>
      <c r="R5" s="95" t="str">
        <f t="shared" si="2"/>
        <v>二</v>
      </c>
      <c r="S5" s="95" t="str">
        <f t="shared" si="2"/>
        <v>三</v>
      </c>
      <c r="T5" s="95" t="str">
        <f t="shared" si="2"/>
        <v>四</v>
      </c>
      <c r="U5" s="95" t="str">
        <f t="shared" si="2"/>
        <v>五</v>
      </c>
      <c r="V5" s="95" t="str">
        <f t="shared" si="2"/>
        <v>六</v>
      </c>
      <c r="W5" s="95" t="str">
        <f t="shared" si="2"/>
        <v>日</v>
      </c>
      <c r="X5" s="95" t="str">
        <f t="shared" si="2"/>
        <v>一</v>
      </c>
      <c r="Y5" s="95" t="str">
        <f t="shared" si="2"/>
        <v>二</v>
      </c>
      <c r="Z5" s="95" t="str">
        <f t="shared" si="2"/>
        <v>三</v>
      </c>
      <c r="AA5" s="95" t="str">
        <f t="shared" si="2"/>
        <v>四</v>
      </c>
      <c r="AB5" s="95" t="str">
        <f t="shared" si="2"/>
        <v>五</v>
      </c>
      <c r="AC5" s="95" t="str">
        <f t="shared" si="2"/>
        <v>六</v>
      </c>
      <c r="AD5" s="95" t="str">
        <f t="shared" si="2"/>
        <v>日</v>
      </c>
      <c r="AE5" s="95" t="str">
        <f t="shared" si="2"/>
        <v>一</v>
      </c>
      <c r="AF5" s="95" t="str">
        <f t="shared" si="2"/>
        <v>二</v>
      </c>
      <c r="AG5" s="95" t="str">
        <f t="shared" si="2"/>
        <v>三</v>
      </c>
      <c r="AH5" s="95" t="str">
        <f t="shared" si="2"/>
        <v>四</v>
      </c>
      <c r="AI5" s="95" t="str">
        <f t="shared" si="2"/>
        <v>五</v>
      </c>
      <c r="AJ5" s="95" t="str">
        <f t="shared" si="2"/>
        <v>六</v>
      </c>
      <c r="AK5" s="95" t="str">
        <f t="shared" si="2"/>
        <v>日</v>
      </c>
      <c r="AL5" s="95" t="str">
        <f t="shared" si="2"/>
        <v>一</v>
      </c>
      <c r="AM5" s="95" t="str">
        <f t="shared" si="2"/>
        <v>二</v>
      </c>
      <c r="AN5" s="95" t="str">
        <f t="shared" si="2"/>
        <v>三</v>
      </c>
      <c r="AO5" s="95" t="str">
        <f t="shared" si="2"/>
        <v>四</v>
      </c>
      <c r="AP5" s="95" t="str">
        <f t="shared" si="2"/>
        <v>五</v>
      </c>
      <c r="AQ5" s="95" t="str">
        <f t="shared" si="2"/>
        <v>六</v>
      </c>
      <c r="AR5" s="95" t="str">
        <f t="shared" si="2"/>
        <v>日</v>
      </c>
      <c r="AS5" s="95" t="str">
        <f t="shared" si="2"/>
        <v>一</v>
      </c>
      <c r="AT5" s="95" t="str">
        <f t="shared" si="2"/>
        <v>二</v>
      </c>
      <c r="AU5" s="95" t="str">
        <f t="shared" si="2"/>
        <v>三</v>
      </c>
      <c r="AV5" s="95" t="str">
        <f t="shared" si="2"/>
        <v>四</v>
      </c>
      <c r="AW5" s="95" t="str">
        <f t="shared" si="2"/>
        <v>五</v>
      </c>
      <c r="AX5" s="95" t="str">
        <f t="shared" si="2"/>
        <v>六</v>
      </c>
      <c r="AY5" s="95" t="str">
        <f t="shared" si="2"/>
        <v>日</v>
      </c>
      <c r="AZ5" s="95" t="str">
        <f t="shared" si="2"/>
        <v>一</v>
      </c>
      <c r="BA5" s="95" t="str">
        <f t="shared" si="2"/>
        <v>二</v>
      </c>
      <c r="BB5" s="95" t="str">
        <f t="shared" si="2"/>
        <v>三</v>
      </c>
      <c r="BC5" s="95" t="str">
        <f t="shared" si="2"/>
        <v>四</v>
      </c>
      <c r="BD5" s="95" t="str">
        <f t="shared" si="2"/>
        <v>五</v>
      </c>
      <c r="BE5" s="95" t="str">
        <f t="shared" si="2"/>
        <v>六</v>
      </c>
      <c r="BF5" s="95" t="str">
        <f t="shared" si="2"/>
        <v>日</v>
      </c>
      <c r="BG5" s="95" t="str">
        <f t="shared" si="2"/>
        <v>一</v>
      </c>
      <c r="BH5" s="95" t="str">
        <f t="shared" si="2"/>
        <v>二</v>
      </c>
      <c r="BI5" s="95" t="str">
        <f t="shared" si="2"/>
        <v>三</v>
      </c>
      <c r="BJ5" s="95" t="str">
        <f t="shared" si="2"/>
        <v>四</v>
      </c>
      <c r="BK5" s="95" t="str">
        <f t="shared" si="2"/>
        <v>五</v>
      </c>
      <c r="BL5" s="95" t="str">
        <f t="shared" si="2"/>
        <v>六</v>
      </c>
      <c r="BM5" s="95" t="str">
        <f t="shared" si="2"/>
        <v>日</v>
      </c>
      <c r="BN5" s="95" t="str">
        <f t="shared" si="2"/>
        <v>一</v>
      </c>
      <c r="BO5" s="95" t="str">
        <f t="shared" si="2"/>
        <v>二</v>
      </c>
      <c r="BP5" s="95" t="str">
        <f t="shared" si="2"/>
        <v>三</v>
      </c>
      <c r="BQ5" s="95" t="str">
        <f t="shared" si="2"/>
        <v>四</v>
      </c>
      <c r="BR5" s="95" t="str">
        <f t="shared" si="2"/>
        <v>五</v>
      </c>
      <c r="BS5" s="95" t="str">
        <f t="shared" si="2"/>
        <v>六</v>
      </c>
      <c r="BT5" s="95" t="str">
        <f t="shared" si="2"/>
        <v>日</v>
      </c>
      <c r="BU5" s="95" t="str">
        <f t="shared" si="2"/>
        <v>一</v>
      </c>
      <c r="BV5" s="95" t="str">
        <f t="shared" si="2"/>
        <v>二</v>
      </c>
      <c r="BW5" s="95" t="str">
        <f t="shared" si="2"/>
        <v>三</v>
      </c>
      <c r="BX5" s="95" t="str">
        <f t="shared" si="2"/>
        <v>四</v>
      </c>
      <c r="BY5" s="95" t="str">
        <f t="shared" si="2"/>
        <v>五</v>
      </c>
      <c r="BZ5" s="95" t="str">
        <f t="shared" si="2"/>
        <v>六</v>
      </c>
      <c r="CA5" s="95" t="str">
        <f t="shared" si="2"/>
        <v>日</v>
      </c>
      <c r="CB5" s="95" t="str">
        <f t="shared" si="2"/>
        <v>一</v>
      </c>
      <c r="CC5" s="95" t="str">
        <f t="shared" ref="CC5:EF5" si="3">RIGHT(TEXT($C$2+COLUMN()-COLUMN($Q$4),"aaaa"),1)</f>
        <v>二</v>
      </c>
      <c r="CD5" s="95" t="str">
        <f t="shared" si="3"/>
        <v>三</v>
      </c>
      <c r="CE5" s="95" t="str">
        <f t="shared" si="3"/>
        <v>四</v>
      </c>
      <c r="CF5" s="95" t="str">
        <f t="shared" si="3"/>
        <v>五</v>
      </c>
      <c r="CG5" s="95" t="str">
        <f t="shared" si="3"/>
        <v>六</v>
      </c>
      <c r="CH5" s="95" t="str">
        <f t="shared" si="3"/>
        <v>日</v>
      </c>
      <c r="CI5" s="95" t="str">
        <f t="shared" si="3"/>
        <v>一</v>
      </c>
      <c r="CJ5" s="95" t="str">
        <f t="shared" si="3"/>
        <v>二</v>
      </c>
      <c r="CK5" s="95" t="str">
        <f t="shared" si="3"/>
        <v>三</v>
      </c>
      <c r="CL5" s="95" t="str">
        <f t="shared" si="3"/>
        <v>四</v>
      </c>
      <c r="CM5" s="95" t="str">
        <f t="shared" si="3"/>
        <v>五</v>
      </c>
      <c r="CN5" s="95" t="str">
        <f t="shared" si="3"/>
        <v>六</v>
      </c>
      <c r="CO5" s="95" t="str">
        <f t="shared" si="3"/>
        <v>日</v>
      </c>
      <c r="CP5" s="95" t="str">
        <f t="shared" si="3"/>
        <v>一</v>
      </c>
      <c r="CQ5" s="95" t="str">
        <f t="shared" si="3"/>
        <v>二</v>
      </c>
      <c r="CR5" s="95" t="str">
        <f t="shared" si="3"/>
        <v>三</v>
      </c>
      <c r="CS5" s="95" t="str">
        <f t="shared" si="3"/>
        <v>四</v>
      </c>
      <c r="CT5" s="95" t="str">
        <f t="shared" si="3"/>
        <v>五</v>
      </c>
      <c r="CU5" s="95" t="str">
        <f t="shared" si="3"/>
        <v>六</v>
      </c>
      <c r="CV5" s="95" t="str">
        <f t="shared" si="3"/>
        <v>日</v>
      </c>
      <c r="CW5" s="95" t="str">
        <f t="shared" si="3"/>
        <v>一</v>
      </c>
      <c r="CX5" s="95" t="str">
        <f t="shared" si="3"/>
        <v>二</v>
      </c>
      <c r="CY5" s="95" t="str">
        <f t="shared" si="3"/>
        <v>三</v>
      </c>
      <c r="CZ5" s="95" t="str">
        <f t="shared" si="3"/>
        <v>四</v>
      </c>
      <c r="DA5" s="95" t="str">
        <f t="shared" si="3"/>
        <v>五</v>
      </c>
      <c r="DB5" s="95" t="str">
        <f t="shared" si="3"/>
        <v>六</v>
      </c>
      <c r="DC5" s="95" t="str">
        <f t="shared" si="3"/>
        <v>日</v>
      </c>
      <c r="DD5" s="95" t="str">
        <f t="shared" si="3"/>
        <v>一</v>
      </c>
      <c r="DE5" s="95" t="str">
        <f t="shared" si="3"/>
        <v>二</v>
      </c>
      <c r="DF5" s="95" t="str">
        <f t="shared" si="3"/>
        <v>三</v>
      </c>
      <c r="DG5" s="95" t="str">
        <f t="shared" si="3"/>
        <v>四</v>
      </c>
      <c r="DH5" s="95" t="str">
        <f t="shared" si="3"/>
        <v>五</v>
      </c>
      <c r="DI5" s="95" t="str">
        <f t="shared" si="3"/>
        <v>六</v>
      </c>
      <c r="DJ5" s="95" t="str">
        <f t="shared" si="3"/>
        <v>日</v>
      </c>
      <c r="DK5" s="95" t="str">
        <f t="shared" si="3"/>
        <v>一</v>
      </c>
      <c r="DL5" s="95" t="str">
        <f t="shared" si="3"/>
        <v>二</v>
      </c>
      <c r="DM5" s="95" t="str">
        <f t="shared" si="3"/>
        <v>三</v>
      </c>
      <c r="DN5" s="95" t="str">
        <f t="shared" si="3"/>
        <v>四</v>
      </c>
      <c r="DO5" s="95" t="str">
        <f t="shared" si="3"/>
        <v>五</v>
      </c>
      <c r="DP5" s="95" t="str">
        <f t="shared" si="3"/>
        <v>六</v>
      </c>
      <c r="DQ5" s="95" t="str">
        <f t="shared" si="3"/>
        <v>日</v>
      </c>
      <c r="DR5" s="95" t="str">
        <f t="shared" si="3"/>
        <v>一</v>
      </c>
      <c r="DS5" s="95" t="str">
        <f t="shared" si="3"/>
        <v>二</v>
      </c>
      <c r="DT5" s="95" t="str">
        <f t="shared" si="3"/>
        <v>三</v>
      </c>
      <c r="DU5" s="95" t="str">
        <f t="shared" si="3"/>
        <v>四</v>
      </c>
      <c r="DV5" s="95" t="str">
        <f t="shared" si="3"/>
        <v>五</v>
      </c>
      <c r="DW5" s="95" t="str">
        <f t="shared" si="3"/>
        <v>六</v>
      </c>
      <c r="DX5" s="95" t="str">
        <f t="shared" si="3"/>
        <v>日</v>
      </c>
      <c r="DY5" s="95" t="str">
        <f t="shared" si="3"/>
        <v>一</v>
      </c>
      <c r="DZ5" s="95" t="str">
        <f t="shared" si="3"/>
        <v>二</v>
      </c>
      <c r="EA5" s="95" t="str">
        <f t="shared" si="3"/>
        <v>三</v>
      </c>
      <c r="EB5" s="95" t="str">
        <f t="shared" si="3"/>
        <v>四</v>
      </c>
      <c r="EC5" s="95" t="str">
        <f t="shared" si="3"/>
        <v>五</v>
      </c>
      <c r="ED5" s="95" t="str">
        <f t="shared" si="3"/>
        <v>六</v>
      </c>
      <c r="EE5" s="95" t="str">
        <f t="shared" si="3"/>
        <v>日</v>
      </c>
      <c r="EF5" s="95" t="str">
        <f t="shared" si="3"/>
        <v>一</v>
      </c>
    </row>
    <row r="6" ht="29" customHeight="1" spans="1:136">
      <c r="A6" s="96" t="s">
        <v>27</v>
      </c>
      <c r="B6" s="97" t="s">
        <v>28</v>
      </c>
      <c r="C6" s="97" t="s">
        <v>2</v>
      </c>
      <c r="D6" s="97" t="s">
        <v>29</v>
      </c>
      <c r="E6" s="98">
        <v>46111</v>
      </c>
      <c r="F6" s="98"/>
      <c r="G6" s="98"/>
      <c r="H6" s="98"/>
      <c r="I6" s="98"/>
      <c r="J6" s="99">
        <v>1</v>
      </c>
      <c r="K6" s="98">
        <v>46111</v>
      </c>
      <c r="L6" s="98"/>
      <c r="M6" s="98"/>
      <c r="N6" s="98"/>
      <c r="O6" s="98"/>
      <c r="P6" s="98"/>
      <c r="Q6" s="100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</row>
    <row r="7" spans="1:136">
      <c r="A7" s="102" t="s">
        <v>30</v>
      </c>
      <c r="B7" s="102" t="s">
        <v>31</v>
      </c>
      <c r="C7" s="102" t="s">
        <v>2</v>
      </c>
      <c r="D7" s="103" t="s">
        <v>29</v>
      </c>
      <c r="E7" s="104">
        <v>46111</v>
      </c>
      <c r="F7" s="104">
        <v>46111</v>
      </c>
      <c r="G7" s="105"/>
      <c r="H7" s="106">
        <v>1</v>
      </c>
      <c r="I7" s="106">
        <v>1</v>
      </c>
      <c r="J7" s="107">
        <v>1</v>
      </c>
      <c r="K7" s="104">
        <v>46111</v>
      </c>
      <c r="L7" s="104">
        <v>46111</v>
      </c>
      <c r="M7" s="104"/>
      <c r="N7" s="104"/>
      <c r="O7" s="104"/>
      <c r="P7" s="104"/>
      <c r="Q7" s="108"/>
      <c r="R7" s="109"/>
      <c r="S7" s="110"/>
      <c r="T7" s="110"/>
      <c r="U7" s="111"/>
      <c r="V7" s="109"/>
      <c r="W7" s="112"/>
      <c r="Y7" s="110"/>
      <c r="Z7" s="111"/>
      <c r="AA7" s="111"/>
      <c r="AB7" s="111"/>
      <c r="AC7" s="109"/>
      <c r="AD7" s="112"/>
      <c r="AE7" s="112"/>
      <c r="AF7" s="15"/>
      <c r="AG7" s="15"/>
      <c r="AH7" s="15"/>
      <c r="AI7" s="111"/>
      <c r="AJ7" s="109"/>
      <c r="AK7" s="109"/>
      <c r="AL7" s="109"/>
      <c r="AM7" s="15"/>
      <c r="AN7" s="15"/>
      <c r="AO7" s="15"/>
      <c r="AP7" s="111"/>
      <c r="AQ7" s="109"/>
      <c r="AR7" s="109"/>
      <c r="AS7" s="109"/>
      <c r="AT7" s="15"/>
      <c r="AU7" s="15"/>
      <c r="AV7" s="15"/>
      <c r="AW7" s="111"/>
      <c r="AX7" s="109"/>
      <c r="AY7" s="109"/>
      <c r="AZ7" s="109"/>
      <c r="BA7" s="15"/>
      <c r="BB7" s="15"/>
      <c r="BC7" s="15"/>
      <c r="BD7" s="111"/>
      <c r="BE7" s="109"/>
      <c r="BF7" s="109"/>
      <c r="BG7" s="109"/>
      <c r="BH7" s="15"/>
      <c r="BI7" s="15"/>
      <c r="BJ7" s="15"/>
      <c r="BK7" s="111"/>
      <c r="BL7" s="109"/>
      <c r="BM7" s="109"/>
      <c r="BN7" s="109"/>
      <c r="BO7" s="15"/>
      <c r="BP7" s="111"/>
      <c r="BQ7" s="15"/>
      <c r="BR7" s="111"/>
      <c r="BS7" s="111"/>
      <c r="BT7" s="15"/>
      <c r="BU7" s="15"/>
      <c r="BV7" s="15"/>
      <c r="BW7" s="15"/>
      <c r="BX7" s="15"/>
      <c r="BY7" s="111"/>
      <c r="BZ7" s="111"/>
      <c r="CA7" s="15"/>
      <c r="CB7" s="15"/>
      <c r="CC7" s="15"/>
      <c r="CD7" s="15"/>
    </row>
    <row r="8" ht="18" customHeight="1" spans="1:136">
      <c r="A8" s="102" t="s">
        <v>32</v>
      </c>
      <c r="B8" s="102" t="s">
        <v>33</v>
      </c>
      <c r="C8" s="102" t="s">
        <v>2</v>
      </c>
      <c r="D8" s="103" t="s">
        <v>29</v>
      </c>
      <c r="E8" s="104">
        <v>46111</v>
      </c>
      <c r="F8" s="104">
        <v>46111</v>
      </c>
      <c r="G8" s="105"/>
      <c r="H8" s="106">
        <v>1</v>
      </c>
      <c r="I8" s="106">
        <v>1</v>
      </c>
      <c r="J8" s="107">
        <v>1</v>
      </c>
      <c r="K8" s="104">
        <v>46111</v>
      </c>
      <c r="L8" s="104">
        <v>46111</v>
      </c>
      <c r="M8" s="104"/>
      <c r="N8" s="104"/>
      <c r="O8" s="104"/>
      <c r="P8" s="104"/>
      <c r="Q8" s="108"/>
      <c r="R8" s="35"/>
      <c r="S8" s="113"/>
      <c r="T8" s="112"/>
      <c r="U8" s="112"/>
      <c r="V8" s="112"/>
      <c r="W8" s="108"/>
      <c r="Y8" s="111"/>
      <c r="Z8" s="111"/>
      <c r="AA8" s="15"/>
      <c r="AB8" s="15"/>
      <c r="AC8" s="35"/>
      <c r="AD8" s="108"/>
      <c r="AE8" s="108"/>
      <c r="AF8" s="111"/>
      <c r="AG8" s="111"/>
      <c r="AH8" s="15"/>
      <c r="AI8" s="15"/>
      <c r="AJ8" s="35"/>
      <c r="AK8" s="108"/>
      <c r="AL8" s="108"/>
      <c r="AM8" s="111"/>
      <c r="AN8" s="111"/>
      <c r="AO8" s="15"/>
      <c r="AP8" s="15"/>
      <c r="AQ8" s="35"/>
      <c r="AR8" s="108"/>
      <c r="AS8" s="108"/>
      <c r="AT8" s="111"/>
      <c r="AU8" s="111"/>
      <c r="AV8" s="15"/>
      <c r="AW8" s="15"/>
      <c r="AX8" s="35"/>
      <c r="AY8" s="108"/>
      <c r="AZ8" s="108"/>
      <c r="BA8" s="111"/>
      <c r="BB8" s="111"/>
      <c r="BC8" s="15"/>
      <c r="BD8" s="15"/>
      <c r="BE8" s="35"/>
      <c r="BF8" s="108"/>
      <c r="BG8" s="108"/>
      <c r="BH8" s="111"/>
      <c r="BI8" s="111"/>
      <c r="BJ8" s="15"/>
      <c r="BK8" s="15"/>
      <c r="BL8" s="35"/>
      <c r="BM8" s="108"/>
      <c r="BN8" s="108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</row>
    <row r="9" ht="18" customHeight="1" spans="1:136">
      <c r="A9" s="96" t="s">
        <v>34</v>
      </c>
      <c r="B9" s="114" t="s">
        <v>35</v>
      </c>
      <c r="C9" s="114" t="s">
        <v>2</v>
      </c>
      <c r="D9" s="115" t="s">
        <v>29</v>
      </c>
      <c r="E9" s="116">
        <v>46111</v>
      </c>
      <c r="F9" s="116">
        <v>46111</v>
      </c>
      <c r="G9" s="115"/>
      <c r="H9" s="115">
        <v>1</v>
      </c>
      <c r="I9" s="115">
        <v>1</v>
      </c>
      <c r="J9" s="117">
        <v>1</v>
      </c>
      <c r="K9" s="116">
        <v>46111</v>
      </c>
      <c r="L9" s="116">
        <v>46111</v>
      </c>
      <c r="M9" s="115"/>
      <c r="N9" s="115"/>
      <c r="O9" s="115"/>
      <c r="P9" s="104"/>
      <c r="Q9" s="118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9"/>
      <c r="DG9" s="119"/>
      <c r="DH9" s="119"/>
      <c r="DI9" s="119"/>
      <c r="DJ9" s="119"/>
      <c r="DK9" s="119"/>
      <c r="DL9" s="119"/>
      <c r="DM9" s="119"/>
      <c r="DN9" s="119"/>
      <c r="DO9" s="119"/>
      <c r="DP9" s="119"/>
      <c r="DQ9" s="119"/>
      <c r="DR9" s="119"/>
      <c r="DS9" s="119"/>
      <c r="DT9" s="119"/>
      <c r="DU9" s="119"/>
      <c r="DV9" s="119"/>
      <c r="DW9" s="119"/>
      <c r="DX9" s="119"/>
      <c r="DY9" s="119"/>
      <c r="DZ9" s="119"/>
      <c r="EA9" s="119"/>
      <c r="EB9" s="119"/>
      <c r="EC9" s="119"/>
      <c r="ED9" s="119"/>
      <c r="EE9" s="119"/>
      <c r="EF9" s="119"/>
    </row>
    <row r="10" ht="18" customHeight="1" spans="1:136">
      <c r="A10" s="102" t="s">
        <v>36</v>
      </c>
      <c r="B10" s="102" t="s">
        <v>37</v>
      </c>
      <c r="C10" s="102" t="s">
        <v>2</v>
      </c>
      <c r="D10" s="120" t="s">
        <v>29</v>
      </c>
      <c r="E10" s="104">
        <v>46111</v>
      </c>
      <c r="F10" s="104">
        <v>46111</v>
      </c>
      <c r="G10" s="105"/>
      <c r="H10" s="106">
        <v>1</v>
      </c>
      <c r="I10" s="106">
        <v>1</v>
      </c>
      <c r="J10" s="107">
        <v>1</v>
      </c>
      <c r="K10" s="104">
        <v>46111</v>
      </c>
      <c r="L10" s="104">
        <v>46111</v>
      </c>
      <c r="M10" s="104"/>
      <c r="N10" s="120"/>
      <c r="O10" s="120"/>
      <c r="P10" s="104"/>
      <c r="Q10" s="108"/>
      <c r="R10" s="35"/>
      <c r="S10" s="111"/>
      <c r="T10" s="121"/>
      <c r="U10" s="111"/>
      <c r="V10" s="109"/>
      <c r="W10" s="109"/>
      <c r="X10" s="109"/>
      <c r="Y10" s="111"/>
      <c r="Z10" s="111"/>
      <c r="AA10" s="121"/>
      <c r="AB10" s="111"/>
      <c r="AC10" s="109"/>
      <c r="AD10" s="109"/>
      <c r="AE10" s="109"/>
      <c r="AF10" s="111"/>
      <c r="AG10" s="111"/>
      <c r="AH10" s="121"/>
      <c r="AI10" s="111"/>
      <c r="AJ10" s="109"/>
      <c r="AK10" s="109"/>
      <c r="AL10" s="109"/>
      <c r="AM10" s="111"/>
      <c r="AN10" s="111"/>
      <c r="AO10" s="121"/>
      <c r="AP10" s="111"/>
      <c r="AQ10" s="109"/>
      <c r="AR10" s="109"/>
      <c r="AS10" s="109"/>
      <c r="AT10" s="111"/>
      <c r="AU10" s="111"/>
      <c r="AV10" s="121"/>
      <c r="AW10" s="111"/>
      <c r="AX10" s="109"/>
      <c r="AY10" s="109"/>
      <c r="AZ10" s="109"/>
      <c r="BA10" s="111"/>
      <c r="BB10" s="111"/>
      <c r="BC10" s="121"/>
      <c r="BD10" s="111"/>
      <c r="BE10" s="109"/>
      <c r="BF10" s="109"/>
      <c r="BG10" s="109"/>
      <c r="BH10" s="111"/>
      <c r="BI10" s="111"/>
      <c r="BJ10" s="121"/>
      <c r="BK10" s="111"/>
      <c r="BL10" s="109"/>
      <c r="BM10" s="109"/>
      <c r="BN10" s="109"/>
      <c r="BO10" s="111"/>
      <c r="BP10" s="111"/>
      <c r="BQ10" s="111"/>
      <c r="BR10" s="111"/>
      <c r="BS10" s="111"/>
      <c r="BT10" s="111"/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</row>
    <row r="11" ht="18" customHeight="1" spans="1:136">
      <c r="A11" s="102" t="s">
        <v>38</v>
      </c>
      <c r="B11" s="102" t="s">
        <v>39</v>
      </c>
      <c r="C11" s="102" t="s">
        <v>2</v>
      </c>
      <c r="D11" s="120" t="s">
        <v>29</v>
      </c>
      <c r="E11" s="104">
        <v>46111</v>
      </c>
      <c r="F11" s="104">
        <v>46111</v>
      </c>
      <c r="G11" s="105"/>
      <c r="H11" s="106">
        <v>1</v>
      </c>
      <c r="I11" s="106">
        <v>1</v>
      </c>
      <c r="J11" s="107">
        <v>1</v>
      </c>
      <c r="K11" s="104">
        <v>46111</v>
      </c>
      <c r="L11" s="104">
        <v>46111</v>
      </c>
      <c r="M11" s="104"/>
      <c r="N11" s="120"/>
      <c r="O11" s="120"/>
      <c r="P11" s="104"/>
      <c r="Q11" s="108"/>
      <c r="R11" s="35"/>
      <c r="S11" s="111"/>
      <c r="T11" s="121"/>
      <c r="U11" s="111"/>
      <c r="V11" s="109"/>
      <c r="W11" s="109"/>
      <c r="X11" s="109"/>
      <c r="Y11" s="111"/>
      <c r="Z11" s="111"/>
      <c r="AA11" s="121"/>
      <c r="AB11" s="111"/>
      <c r="AC11" s="109"/>
      <c r="AD11" s="109"/>
      <c r="AE11" s="109"/>
      <c r="AF11" s="111"/>
      <c r="AG11" s="111"/>
      <c r="AH11" s="121"/>
      <c r="AI11" s="111"/>
      <c r="AJ11" s="109"/>
      <c r="AK11" s="109"/>
      <c r="AL11" s="109"/>
      <c r="AM11" s="111"/>
      <c r="AN11" s="111"/>
      <c r="AO11" s="121"/>
      <c r="AP11" s="111"/>
      <c r="AQ11" s="109"/>
      <c r="AR11" s="109"/>
      <c r="AS11" s="109"/>
      <c r="AT11" s="111"/>
      <c r="AU11" s="111"/>
      <c r="AV11" s="121"/>
      <c r="AW11" s="111"/>
      <c r="AX11" s="109"/>
      <c r="AY11" s="109"/>
      <c r="AZ11" s="109"/>
      <c r="BA11" s="111"/>
      <c r="BB11" s="111"/>
      <c r="BC11" s="121"/>
      <c r="BD11" s="111"/>
      <c r="BE11" s="109"/>
      <c r="BF11" s="109"/>
      <c r="BG11" s="109"/>
      <c r="BH11" s="111"/>
      <c r="BI11" s="111"/>
      <c r="BJ11" s="121"/>
      <c r="BK11" s="111"/>
      <c r="BL11" s="109"/>
      <c r="BM11" s="109"/>
      <c r="BN11" s="109"/>
      <c r="BO11" s="111"/>
      <c r="BP11" s="111"/>
      <c r="BQ11" s="111"/>
      <c r="BR11" s="111"/>
      <c r="BS11" s="111"/>
      <c r="BT11" s="111"/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</row>
    <row r="12" ht="18" customHeight="1" spans="1:136">
      <c r="A12" s="102" t="s">
        <v>40</v>
      </c>
      <c r="B12" s="102" t="s">
        <v>41</v>
      </c>
      <c r="C12" s="102" t="s">
        <v>2</v>
      </c>
      <c r="D12" s="120" t="s">
        <v>42</v>
      </c>
      <c r="E12" s="104">
        <v>46112</v>
      </c>
      <c r="F12" s="104">
        <v>46133</v>
      </c>
      <c r="G12" s="105"/>
      <c r="H12" s="106"/>
      <c r="I12" s="106"/>
      <c r="J12" s="107">
        <v>0.15</v>
      </c>
      <c r="K12" s="104"/>
      <c r="L12" s="104"/>
      <c r="M12" s="104"/>
      <c r="N12" s="120"/>
      <c r="O12" s="120"/>
      <c r="P12" s="104"/>
      <c r="Q12" s="108"/>
      <c r="R12" s="35"/>
      <c r="S12" s="111"/>
      <c r="T12" s="121"/>
      <c r="U12" s="111"/>
      <c r="V12" s="109"/>
      <c r="W12" s="109"/>
      <c r="X12" s="109"/>
      <c r="Y12" s="111"/>
      <c r="Z12" s="111"/>
      <c r="AA12" s="121"/>
      <c r="AB12" s="111"/>
      <c r="AC12" s="109"/>
      <c r="AD12" s="109"/>
      <c r="AE12" s="109"/>
      <c r="AF12" s="111"/>
      <c r="AG12" s="111"/>
      <c r="AH12" s="121"/>
      <c r="AI12" s="111"/>
      <c r="AJ12" s="109"/>
      <c r="AK12" s="109"/>
      <c r="AL12" s="109"/>
      <c r="AM12" s="111"/>
      <c r="AN12" s="111"/>
      <c r="AO12" s="121"/>
      <c r="AP12" s="111"/>
      <c r="AQ12" s="109"/>
      <c r="AR12" s="109"/>
      <c r="AS12" s="109"/>
      <c r="AT12" s="111"/>
      <c r="AU12" s="111"/>
      <c r="AV12" s="121"/>
      <c r="AW12" s="111"/>
      <c r="AX12" s="109"/>
      <c r="AY12" s="109"/>
      <c r="AZ12" s="109"/>
      <c r="BA12" s="111"/>
      <c r="BB12" s="111"/>
      <c r="BC12" s="121"/>
      <c r="BD12" s="111"/>
      <c r="BE12" s="109"/>
      <c r="BF12" s="109"/>
      <c r="BG12" s="109"/>
      <c r="BH12" s="111"/>
      <c r="BI12" s="111"/>
      <c r="BJ12" s="121"/>
      <c r="BK12" s="111"/>
      <c r="BL12" s="109"/>
      <c r="BM12" s="109"/>
      <c r="BN12" s="109"/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</row>
    <row r="13" ht="18" customHeight="1" spans="1:136">
      <c r="A13" s="102" t="s">
        <v>43</v>
      </c>
      <c r="B13" s="102" t="s">
        <v>44</v>
      </c>
      <c r="C13" s="102" t="s">
        <v>2</v>
      </c>
      <c r="D13" s="120" t="s">
        <v>45</v>
      </c>
      <c r="E13" s="104">
        <v>46112</v>
      </c>
      <c r="F13" s="104">
        <v>46114</v>
      </c>
      <c r="G13" s="105"/>
      <c r="H13" s="106">
        <v>3</v>
      </c>
      <c r="I13" s="106">
        <v>3</v>
      </c>
      <c r="J13" s="107">
        <v>0</v>
      </c>
      <c r="K13" s="104"/>
      <c r="L13" s="104"/>
      <c r="M13" s="104"/>
      <c r="N13" s="120"/>
      <c r="O13" s="120"/>
      <c r="P13" s="104"/>
      <c r="Q13" s="108"/>
      <c r="R13" s="35"/>
      <c r="S13" s="111"/>
      <c r="T13" s="121"/>
      <c r="U13" s="111"/>
      <c r="V13" s="109"/>
      <c r="W13" s="109"/>
      <c r="X13" s="109"/>
      <c r="Y13" s="111"/>
      <c r="Z13" s="111"/>
      <c r="AA13" s="121"/>
      <c r="AB13" s="111"/>
      <c r="AC13" s="109"/>
      <c r="AD13" s="109"/>
      <c r="AE13" s="109"/>
      <c r="AF13" s="111"/>
      <c r="AG13" s="111"/>
      <c r="AH13" s="121"/>
      <c r="AI13" s="111"/>
      <c r="AJ13" s="109"/>
      <c r="AK13" s="109"/>
      <c r="AL13" s="109"/>
      <c r="AM13" s="111"/>
      <c r="AN13" s="111"/>
      <c r="AO13" s="121"/>
      <c r="AP13" s="111"/>
      <c r="AQ13" s="109"/>
      <c r="AR13" s="109"/>
      <c r="AS13" s="109"/>
      <c r="AT13" s="111"/>
      <c r="AU13" s="111"/>
      <c r="AV13" s="121"/>
      <c r="AW13" s="111"/>
      <c r="AX13" s="109"/>
      <c r="AY13" s="109"/>
      <c r="AZ13" s="109"/>
      <c r="BA13" s="111"/>
      <c r="BB13" s="111"/>
      <c r="BC13" s="121"/>
      <c r="BD13" s="111"/>
      <c r="BE13" s="109"/>
      <c r="BF13" s="109"/>
      <c r="BG13" s="109"/>
      <c r="BH13" s="111"/>
      <c r="BI13" s="111"/>
      <c r="BJ13" s="121"/>
      <c r="BK13" s="111"/>
      <c r="BL13" s="109"/>
      <c r="BM13" s="109"/>
      <c r="BN13" s="109"/>
      <c r="BO13" s="111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  <c r="CD13" s="111"/>
    </row>
    <row r="14" ht="18" customHeight="1" spans="1:136">
      <c r="A14" s="122" t="s">
        <v>46</v>
      </c>
      <c r="B14" s="102" t="s">
        <v>47</v>
      </c>
      <c r="C14" s="102" t="s">
        <v>2</v>
      </c>
      <c r="D14" s="120" t="s">
        <v>45</v>
      </c>
      <c r="E14" s="104">
        <v>46113</v>
      </c>
      <c r="F14" s="104">
        <v>46119</v>
      </c>
      <c r="G14" s="105"/>
      <c r="H14" s="106">
        <v>7</v>
      </c>
      <c r="I14" s="106">
        <v>5</v>
      </c>
      <c r="J14" s="107">
        <v>0</v>
      </c>
      <c r="K14" s="104"/>
      <c r="L14" s="104"/>
      <c r="M14" s="104"/>
      <c r="N14" s="120"/>
      <c r="O14" s="120"/>
      <c r="P14" s="104"/>
      <c r="Q14" s="108"/>
      <c r="R14" s="35"/>
      <c r="S14" s="111"/>
      <c r="T14" s="121"/>
      <c r="U14" s="111"/>
      <c r="V14" s="109"/>
      <c r="W14" s="109"/>
      <c r="X14" s="109"/>
      <c r="Y14" s="111"/>
      <c r="Z14" s="111"/>
      <c r="AA14" s="121"/>
      <c r="AB14" s="111"/>
      <c r="AC14" s="109"/>
      <c r="AD14" s="109"/>
      <c r="AE14" s="109"/>
      <c r="AF14" s="111"/>
      <c r="AG14" s="111"/>
      <c r="AH14" s="121"/>
      <c r="AI14" s="111"/>
      <c r="AJ14" s="109"/>
      <c r="AK14" s="109"/>
      <c r="AL14" s="109"/>
      <c r="AM14" s="111"/>
      <c r="AN14" s="111"/>
      <c r="AO14" s="121"/>
      <c r="AP14" s="111"/>
      <c r="AQ14" s="109"/>
      <c r="AR14" s="109"/>
      <c r="AS14" s="109"/>
      <c r="AT14" s="111"/>
      <c r="AU14" s="111"/>
      <c r="AV14" s="121"/>
      <c r="AW14" s="111"/>
      <c r="AX14" s="109"/>
      <c r="AY14" s="109"/>
      <c r="AZ14" s="109"/>
      <c r="BA14" s="111"/>
      <c r="BB14" s="111"/>
      <c r="BC14" s="121"/>
      <c r="BD14" s="111"/>
      <c r="BE14" s="109"/>
      <c r="BF14" s="109"/>
      <c r="BG14" s="109"/>
      <c r="BH14" s="111"/>
      <c r="BI14" s="111"/>
      <c r="BJ14" s="121"/>
      <c r="BK14" s="111"/>
      <c r="BL14" s="109"/>
      <c r="BM14" s="109"/>
      <c r="BN14" s="109"/>
      <c r="BO14" s="111"/>
      <c r="BP14" s="111"/>
      <c r="BQ14" s="111"/>
      <c r="BR14" s="111"/>
      <c r="BS14" s="111"/>
      <c r="BT14" s="111"/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</row>
    <row r="15" ht="27" customHeight="1" spans="1:136">
      <c r="A15" s="122" t="s">
        <v>48</v>
      </c>
      <c r="B15" s="102" t="s">
        <v>49</v>
      </c>
      <c r="C15" s="102" t="s">
        <v>2</v>
      </c>
      <c r="D15" s="120" t="s">
        <v>45</v>
      </c>
      <c r="E15" s="104">
        <v>46115</v>
      </c>
      <c r="F15" s="104">
        <v>46121</v>
      </c>
      <c r="G15" s="105"/>
      <c r="H15" s="106">
        <v>7</v>
      </c>
      <c r="I15" s="106">
        <v>5</v>
      </c>
      <c r="J15" s="107">
        <v>0</v>
      </c>
      <c r="K15" s="104"/>
      <c r="L15" s="104"/>
      <c r="M15" s="104"/>
      <c r="N15" s="120"/>
      <c r="O15" s="120"/>
      <c r="P15" s="104"/>
      <c r="Q15" s="108"/>
      <c r="R15" s="35"/>
      <c r="S15" s="111"/>
      <c r="T15" s="121"/>
      <c r="U15" s="111"/>
      <c r="V15" s="109"/>
      <c r="W15" s="109"/>
      <c r="X15" s="109"/>
      <c r="Y15" s="111"/>
      <c r="Z15" s="111"/>
      <c r="AA15" s="121"/>
      <c r="AB15" s="111"/>
      <c r="AC15" s="109"/>
      <c r="AD15" s="109"/>
      <c r="AE15" s="109"/>
      <c r="AF15" s="111"/>
      <c r="AG15" s="111"/>
      <c r="AH15" s="121"/>
      <c r="AI15" s="111"/>
      <c r="AJ15" s="109"/>
      <c r="AK15" s="109"/>
      <c r="AL15" s="109"/>
      <c r="AM15" s="111"/>
      <c r="AN15" s="111"/>
      <c r="AO15" s="121"/>
      <c r="AP15" s="111"/>
      <c r="AQ15" s="109"/>
      <c r="AR15" s="109"/>
      <c r="AS15" s="109"/>
      <c r="AT15" s="111"/>
      <c r="AU15" s="111"/>
      <c r="AV15" s="121"/>
      <c r="AW15" s="111"/>
      <c r="AX15" s="109"/>
      <c r="AY15" s="109"/>
      <c r="AZ15" s="109"/>
      <c r="BA15" s="111"/>
      <c r="BB15" s="111"/>
      <c r="BC15" s="121"/>
      <c r="BD15" s="111"/>
      <c r="BE15" s="109"/>
      <c r="BF15" s="109"/>
      <c r="BG15" s="109"/>
      <c r="BH15" s="111"/>
      <c r="BI15" s="111"/>
      <c r="BJ15" s="121"/>
      <c r="BK15" s="111"/>
      <c r="BL15" s="109"/>
      <c r="BM15" s="109"/>
      <c r="BN15" s="109"/>
      <c r="BO15" s="111"/>
      <c r="BP15" s="111"/>
      <c r="BQ15" s="111"/>
      <c r="BR15" s="111"/>
      <c r="BS15" s="111"/>
      <c r="BT15" s="111"/>
      <c r="BU15" s="111"/>
      <c r="BV15" s="111"/>
      <c r="BW15" s="111"/>
      <c r="BX15" s="111"/>
      <c r="BY15" s="111"/>
      <c r="BZ15" s="111"/>
      <c r="CA15" s="111"/>
      <c r="CB15" s="111"/>
      <c r="CC15" s="111"/>
      <c r="CD15" s="111"/>
    </row>
    <row r="16" ht="28" customHeight="1" spans="1:136">
      <c r="A16" s="102" t="s">
        <v>50</v>
      </c>
      <c r="B16" s="102" t="s">
        <v>51</v>
      </c>
      <c r="C16" s="102" t="s">
        <v>2</v>
      </c>
      <c r="D16" s="120" t="s">
        <v>29</v>
      </c>
      <c r="E16" s="104">
        <v>46120</v>
      </c>
      <c r="F16" s="104">
        <v>46126</v>
      </c>
      <c r="G16" s="105"/>
      <c r="H16" s="106">
        <v>7</v>
      </c>
      <c r="I16" s="106">
        <v>5</v>
      </c>
      <c r="J16" s="107">
        <v>0</v>
      </c>
      <c r="K16" s="104"/>
      <c r="L16" s="104"/>
      <c r="M16" s="104"/>
      <c r="N16" s="120"/>
      <c r="O16" s="120"/>
      <c r="P16" s="104"/>
      <c r="Q16" s="108"/>
      <c r="R16" s="35"/>
      <c r="S16" s="111"/>
      <c r="T16" s="121"/>
      <c r="U16" s="111"/>
      <c r="V16" s="109"/>
      <c r="W16" s="109"/>
      <c r="X16" s="109"/>
      <c r="Y16" s="111"/>
      <c r="Z16" s="111"/>
      <c r="AA16" s="121"/>
      <c r="AB16" s="111"/>
      <c r="AC16" s="109"/>
      <c r="AD16" s="109"/>
      <c r="AE16" s="109"/>
      <c r="AF16" s="111"/>
      <c r="AG16" s="111"/>
      <c r="AH16" s="121"/>
      <c r="AI16" s="111"/>
      <c r="AJ16" s="109"/>
      <c r="AK16" s="109"/>
      <c r="AL16" s="109"/>
      <c r="AM16" s="111"/>
      <c r="AN16" s="111"/>
      <c r="AO16" s="121"/>
      <c r="AP16" s="111"/>
      <c r="AQ16" s="109"/>
      <c r="AR16" s="109"/>
      <c r="AS16" s="109"/>
      <c r="AT16" s="111"/>
      <c r="AU16" s="111"/>
      <c r="AV16" s="121"/>
      <c r="AW16" s="111"/>
      <c r="AX16" s="109"/>
      <c r="AY16" s="109"/>
      <c r="AZ16" s="109"/>
      <c r="BA16" s="111"/>
      <c r="BB16" s="111"/>
      <c r="BC16" s="121"/>
      <c r="BD16" s="111"/>
      <c r="BE16" s="109"/>
      <c r="BF16" s="109"/>
      <c r="BG16" s="109"/>
      <c r="BH16" s="111"/>
      <c r="BI16" s="111"/>
      <c r="BJ16" s="121"/>
      <c r="BK16" s="111"/>
      <c r="BL16" s="109"/>
      <c r="BM16" s="109"/>
      <c r="BN16" s="109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  <c r="CD16" s="111"/>
    </row>
    <row r="17" ht="18" customHeight="1" spans="1:136">
      <c r="A17" s="102" t="s">
        <v>52</v>
      </c>
      <c r="B17" s="102" t="s">
        <v>53</v>
      </c>
      <c r="C17" s="102" t="s">
        <v>2</v>
      </c>
      <c r="D17" s="120" t="s">
        <v>45</v>
      </c>
      <c r="E17" s="104">
        <v>46122</v>
      </c>
      <c r="F17" s="104">
        <v>46130</v>
      </c>
      <c r="G17" s="105"/>
      <c r="H17" s="106">
        <v>9</v>
      </c>
      <c r="I17" s="106">
        <v>7</v>
      </c>
      <c r="J17" s="107">
        <v>0</v>
      </c>
      <c r="K17" s="104"/>
      <c r="L17" s="104"/>
      <c r="M17" s="104"/>
      <c r="N17" s="120"/>
      <c r="O17" s="120"/>
      <c r="P17" s="104"/>
      <c r="Q17" s="108"/>
      <c r="R17" s="35"/>
      <c r="S17" s="111"/>
      <c r="T17" s="121"/>
      <c r="U17" s="111"/>
      <c r="V17" s="109"/>
      <c r="W17" s="109"/>
      <c r="X17" s="109"/>
      <c r="Y17" s="111"/>
      <c r="Z17" s="111"/>
      <c r="AA17" s="121"/>
      <c r="AB17" s="111"/>
      <c r="AC17" s="109"/>
      <c r="AD17" s="109"/>
      <c r="AE17" s="109"/>
      <c r="AF17" s="111"/>
      <c r="AG17" s="111"/>
      <c r="AH17" s="121"/>
      <c r="AI17" s="111"/>
      <c r="AJ17" s="109"/>
      <c r="AK17" s="109"/>
      <c r="AL17" s="109"/>
      <c r="AM17" s="111"/>
      <c r="AN17" s="111"/>
      <c r="AO17" s="121"/>
      <c r="AP17" s="111"/>
      <c r="AQ17" s="109"/>
      <c r="AR17" s="109"/>
      <c r="AS17" s="109"/>
      <c r="AT17" s="111"/>
      <c r="AU17" s="111"/>
      <c r="AV17" s="121"/>
      <c r="AW17" s="111"/>
      <c r="AX17" s="109"/>
      <c r="AY17" s="109"/>
      <c r="AZ17" s="109"/>
      <c r="BA17" s="111"/>
      <c r="BB17" s="111"/>
      <c r="BC17" s="121"/>
      <c r="BD17" s="111"/>
      <c r="BE17" s="109"/>
      <c r="BF17" s="109"/>
      <c r="BG17" s="109"/>
      <c r="BH17" s="111"/>
      <c r="BI17" s="111"/>
      <c r="BJ17" s="121"/>
      <c r="BK17" s="111"/>
      <c r="BL17" s="109"/>
      <c r="BM17" s="109"/>
      <c r="BN17" s="109"/>
      <c r="BO17" s="111"/>
      <c r="BP17" s="111"/>
      <c r="BQ17" s="111"/>
      <c r="BR17" s="111"/>
      <c r="BS17" s="111"/>
      <c r="BT17" s="111"/>
      <c r="BU17" s="111"/>
      <c r="BV17" s="111"/>
      <c r="BW17" s="111"/>
      <c r="BX17" s="111"/>
      <c r="BY17" s="111"/>
      <c r="BZ17" s="111"/>
      <c r="CA17" s="111"/>
      <c r="CB17" s="111"/>
      <c r="CC17" s="111"/>
      <c r="CD17" s="111"/>
    </row>
    <row r="18" ht="18" customHeight="1" spans="1:136">
      <c r="A18" s="102" t="s">
        <v>54</v>
      </c>
      <c r="B18" s="102" t="s">
        <v>55</v>
      </c>
      <c r="C18" s="102" t="s">
        <v>2</v>
      </c>
      <c r="D18" s="120" t="s">
        <v>45</v>
      </c>
      <c r="E18" s="104">
        <v>46127</v>
      </c>
      <c r="F18" s="104">
        <v>46133</v>
      </c>
      <c r="G18" s="105"/>
      <c r="H18" s="106">
        <v>7</v>
      </c>
      <c r="I18" s="106">
        <v>5</v>
      </c>
      <c r="J18" s="107">
        <v>0</v>
      </c>
      <c r="K18" s="104"/>
      <c r="L18" s="104"/>
      <c r="M18" s="104"/>
      <c r="N18" s="120"/>
      <c r="O18" s="120"/>
      <c r="P18" s="104"/>
      <c r="Q18" s="108"/>
      <c r="R18" s="35"/>
      <c r="S18" s="111"/>
      <c r="T18" s="121"/>
      <c r="U18" s="111"/>
      <c r="V18" s="109"/>
      <c r="W18" s="109"/>
      <c r="X18" s="109"/>
      <c r="Y18" s="111"/>
      <c r="Z18" s="111"/>
      <c r="AA18" s="121"/>
      <c r="AB18" s="111"/>
      <c r="AC18" s="109"/>
      <c r="AD18" s="109"/>
      <c r="AE18" s="109"/>
      <c r="AF18" s="111"/>
      <c r="AG18" s="111"/>
      <c r="AH18" s="121"/>
      <c r="AI18" s="111"/>
      <c r="AJ18" s="109"/>
      <c r="AK18" s="109"/>
      <c r="AL18" s="109"/>
      <c r="AM18" s="111"/>
      <c r="AN18" s="111"/>
      <c r="AO18" s="121"/>
      <c r="AP18" s="111"/>
      <c r="AQ18" s="109"/>
      <c r="AR18" s="109"/>
      <c r="AS18" s="109"/>
      <c r="AT18" s="111"/>
      <c r="AU18" s="111"/>
      <c r="AV18" s="121"/>
      <c r="AW18" s="111"/>
      <c r="AX18" s="109"/>
      <c r="AY18" s="109"/>
      <c r="AZ18" s="109"/>
      <c r="BA18" s="111"/>
      <c r="BB18" s="111"/>
      <c r="BC18" s="121"/>
      <c r="BD18" s="111"/>
      <c r="BE18" s="109"/>
      <c r="BF18" s="109"/>
      <c r="BG18" s="109"/>
      <c r="BH18" s="111"/>
      <c r="BI18" s="111"/>
      <c r="BJ18" s="121"/>
      <c r="BK18" s="111"/>
      <c r="BL18" s="109"/>
      <c r="BM18" s="109"/>
      <c r="BN18" s="109"/>
      <c r="BO18" s="111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</row>
    <row r="19" ht="18" customHeight="1" spans="1:136">
      <c r="A19" s="102" t="s">
        <v>56</v>
      </c>
      <c r="B19" s="102" t="s">
        <v>57</v>
      </c>
      <c r="C19" s="102" t="s">
        <v>2</v>
      </c>
      <c r="D19" s="120" t="s">
        <v>45</v>
      </c>
      <c r="E19" s="104">
        <v>46134</v>
      </c>
      <c r="F19" s="104">
        <v>46150</v>
      </c>
      <c r="G19" s="105"/>
      <c r="H19" s="106"/>
      <c r="I19" s="106"/>
      <c r="J19" s="107">
        <v>0</v>
      </c>
      <c r="K19" s="104"/>
      <c r="L19" s="104"/>
      <c r="M19" s="104"/>
      <c r="N19" s="120"/>
      <c r="O19" s="120"/>
      <c r="P19" s="104"/>
      <c r="Q19" s="108"/>
      <c r="R19" s="35"/>
      <c r="S19" s="111"/>
      <c r="T19" s="121"/>
      <c r="U19" s="111"/>
      <c r="V19" s="109"/>
      <c r="W19" s="109"/>
      <c r="X19" s="109"/>
      <c r="Y19" s="111"/>
      <c r="Z19" s="111"/>
      <c r="AA19" s="121"/>
      <c r="AB19" s="111"/>
      <c r="AC19" s="109"/>
      <c r="AD19" s="109"/>
      <c r="AE19" s="109"/>
      <c r="AF19" s="111"/>
      <c r="AG19" s="111"/>
      <c r="AH19" s="121"/>
      <c r="AI19" s="111"/>
      <c r="AJ19" s="109"/>
      <c r="AK19" s="109"/>
      <c r="AL19" s="109"/>
      <c r="AM19" s="111"/>
      <c r="AN19" s="111"/>
      <c r="AO19" s="121"/>
      <c r="AP19" s="111"/>
      <c r="AQ19" s="109"/>
      <c r="AR19" s="109"/>
      <c r="AS19" s="109"/>
      <c r="AT19" s="111"/>
      <c r="AU19" s="111"/>
      <c r="AV19" s="121"/>
      <c r="AW19" s="111"/>
      <c r="AX19" s="109"/>
      <c r="AY19" s="109"/>
      <c r="AZ19" s="109"/>
      <c r="BA19" s="111"/>
      <c r="BB19" s="111"/>
      <c r="BC19" s="121"/>
      <c r="BD19" s="111"/>
      <c r="BE19" s="109"/>
      <c r="BF19" s="109"/>
      <c r="BG19" s="109"/>
      <c r="BH19" s="111"/>
      <c r="BI19" s="111"/>
      <c r="BJ19" s="121"/>
      <c r="BK19" s="111"/>
      <c r="BL19" s="109"/>
      <c r="BM19" s="109"/>
      <c r="BN19" s="109"/>
      <c r="BO19" s="111"/>
      <c r="BP19" s="111"/>
      <c r="BQ19" s="111"/>
      <c r="BR19" s="111"/>
      <c r="BS19" s="111"/>
      <c r="BT19" s="111"/>
      <c r="BU19" s="111"/>
      <c r="BV19" s="111"/>
      <c r="BW19" s="111"/>
      <c r="BX19" s="111"/>
      <c r="BY19" s="111"/>
      <c r="BZ19" s="111"/>
      <c r="CA19" s="111"/>
      <c r="CB19" s="111"/>
      <c r="CC19" s="111"/>
      <c r="CD19" s="111"/>
    </row>
    <row r="20" ht="18" customHeight="1" spans="1:136">
      <c r="A20" s="102" t="s">
        <v>58</v>
      </c>
      <c r="B20" s="102" t="s">
        <v>59</v>
      </c>
      <c r="C20" s="102" t="s">
        <v>2</v>
      </c>
      <c r="D20" s="120" t="s">
        <v>45</v>
      </c>
      <c r="E20" s="104">
        <v>46134</v>
      </c>
      <c r="F20" s="104">
        <v>46140</v>
      </c>
      <c r="G20" s="105"/>
      <c r="H20" s="106">
        <v>7</v>
      </c>
      <c r="I20" s="106">
        <v>5</v>
      </c>
      <c r="J20" s="107">
        <v>0</v>
      </c>
      <c r="K20" s="104"/>
      <c r="L20" s="104"/>
      <c r="M20" s="104"/>
      <c r="N20" s="120"/>
      <c r="O20" s="120"/>
      <c r="P20" s="104"/>
      <c r="Q20" s="108"/>
      <c r="R20" s="35"/>
      <c r="S20" s="111"/>
      <c r="T20" s="121"/>
      <c r="U20" s="111"/>
      <c r="V20" s="109"/>
      <c r="W20" s="109"/>
      <c r="X20" s="109"/>
      <c r="Y20" s="111"/>
      <c r="Z20" s="111"/>
      <c r="AA20" s="121"/>
      <c r="AB20" s="111"/>
      <c r="AC20" s="109"/>
      <c r="AD20" s="109"/>
      <c r="AE20" s="109"/>
      <c r="AF20" s="111"/>
      <c r="AG20" s="111"/>
      <c r="AH20" s="121"/>
      <c r="AI20" s="111"/>
      <c r="AJ20" s="109"/>
      <c r="AK20" s="109"/>
      <c r="AL20" s="109"/>
      <c r="AM20" s="111"/>
      <c r="AN20" s="111"/>
      <c r="AO20" s="121"/>
      <c r="AP20" s="111"/>
      <c r="AQ20" s="109"/>
      <c r="AR20" s="109"/>
      <c r="AS20" s="109"/>
      <c r="AT20" s="111"/>
      <c r="AU20" s="111"/>
      <c r="AV20" s="121"/>
      <c r="AW20" s="111"/>
      <c r="AX20" s="109"/>
      <c r="AY20" s="109"/>
      <c r="AZ20" s="109"/>
      <c r="BA20" s="111"/>
      <c r="BB20" s="111"/>
      <c r="BC20" s="121"/>
      <c r="BD20" s="111"/>
      <c r="BE20" s="109"/>
      <c r="BF20" s="109"/>
      <c r="BG20" s="109"/>
      <c r="BH20" s="111"/>
      <c r="BI20" s="111"/>
      <c r="BJ20" s="121"/>
      <c r="BK20" s="111"/>
      <c r="BL20" s="109"/>
      <c r="BM20" s="109"/>
      <c r="BN20" s="109"/>
      <c r="BO20" s="111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</row>
    <row r="21" ht="18" customHeight="1" spans="1:136">
      <c r="A21" s="102" t="s">
        <v>60</v>
      </c>
      <c r="B21" s="102" t="s">
        <v>61</v>
      </c>
      <c r="C21" s="102" t="s">
        <v>2</v>
      </c>
      <c r="D21" s="120" t="s">
        <v>45</v>
      </c>
      <c r="E21" s="104">
        <v>46134</v>
      </c>
      <c r="F21" s="104">
        <v>46142</v>
      </c>
      <c r="G21" s="105"/>
      <c r="H21" s="106">
        <v>9</v>
      </c>
      <c r="I21" s="106">
        <v>7</v>
      </c>
      <c r="J21" s="107">
        <v>0</v>
      </c>
      <c r="K21" s="104"/>
      <c r="L21" s="104"/>
      <c r="M21" s="104"/>
      <c r="N21" s="120"/>
      <c r="O21" s="120"/>
      <c r="P21" s="104"/>
      <c r="Q21" s="108"/>
      <c r="R21" s="35"/>
      <c r="S21" s="111"/>
      <c r="T21" s="121"/>
      <c r="U21" s="111"/>
      <c r="V21" s="109"/>
      <c r="W21" s="109"/>
      <c r="X21" s="109"/>
      <c r="Y21" s="111"/>
      <c r="Z21" s="111"/>
      <c r="AA21" s="121"/>
      <c r="AB21" s="111"/>
      <c r="AC21" s="109"/>
      <c r="AD21" s="109"/>
      <c r="AE21" s="109"/>
      <c r="AF21" s="111"/>
      <c r="AG21" s="111"/>
      <c r="AH21" s="121"/>
      <c r="AI21" s="111"/>
      <c r="AJ21" s="109"/>
      <c r="AK21" s="109"/>
      <c r="AL21" s="109"/>
      <c r="AM21" s="111"/>
      <c r="AN21" s="111"/>
      <c r="AO21" s="121"/>
      <c r="AP21" s="111"/>
      <c r="AQ21" s="109"/>
      <c r="AR21" s="109"/>
      <c r="AS21" s="109"/>
      <c r="AT21" s="111"/>
      <c r="AU21" s="111"/>
      <c r="AV21" s="121"/>
      <c r="AW21" s="111"/>
      <c r="AX21" s="109"/>
      <c r="AY21" s="109"/>
      <c r="AZ21" s="109"/>
      <c r="BA21" s="111"/>
      <c r="BB21" s="111"/>
      <c r="BC21" s="121"/>
      <c r="BD21" s="111"/>
      <c r="BE21" s="109"/>
      <c r="BF21" s="109"/>
      <c r="BG21" s="109"/>
      <c r="BH21" s="111"/>
      <c r="BI21" s="111"/>
      <c r="BJ21" s="121"/>
      <c r="BK21" s="111"/>
      <c r="BL21" s="109"/>
      <c r="BM21" s="109"/>
      <c r="BN21" s="109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</row>
    <row r="22" ht="18" customHeight="1" spans="1:136">
      <c r="A22" s="102" t="s">
        <v>62</v>
      </c>
      <c r="B22" s="102" t="s">
        <v>63</v>
      </c>
      <c r="C22" s="102" t="s">
        <v>2</v>
      </c>
      <c r="D22" s="120" t="s">
        <v>45</v>
      </c>
      <c r="E22" s="104">
        <v>46136</v>
      </c>
      <c r="F22" s="104">
        <v>46142</v>
      </c>
      <c r="G22" s="105"/>
      <c r="H22" s="106">
        <v>7</v>
      </c>
      <c r="I22" s="106">
        <v>5</v>
      </c>
      <c r="J22" s="107">
        <v>0</v>
      </c>
      <c r="K22" s="104"/>
      <c r="L22" s="104"/>
      <c r="M22" s="104"/>
      <c r="N22" s="120"/>
      <c r="O22" s="120"/>
      <c r="P22" s="104"/>
      <c r="Q22" s="108"/>
      <c r="R22" s="35"/>
      <c r="S22" s="111"/>
      <c r="T22" s="121"/>
      <c r="U22" s="111"/>
      <c r="V22" s="109"/>
      <c r="W22" s="109"/>
      <c r="X22" s="109"/>
      <c r="Y22" s="111"/>
      <c r="Z22" s="111"/>
      <c r="AA22" s="121"/>
      <c r="AB22" s="111"/>
      <c r="AC22" s="109"/>
      <c r="AD22" s="109"/>
      <c r="AE22" s="109"/>
      <c r="AF22" s="111"/>
      <c r="AG22" s="111"/>
      <c r="AH22" s="121"/>
      <c r="AI22" s="111"/>
      <c r="AJ22" s="109"/>
      <c r="AK22" s="109"/>
      <c r="AL22" s="109"/>
      <c r="AM22" s="111"/>
      <c r="AN22" s="111"/>
      <c r="AO22" s="121"/>
      <c r="AP22" s="111"/>
      <c r="AQ22" s="109"/>
      <c r="AR22" s="109"/>
      <c r="AS22" s="109"/>
      <c r="AT22" s="111"/>
      <c r="AU22" s="111"/>
      <c r="AV22" s="121"/>
      <c r="AW22" s="111"/>
      <c r="AX22" s="109"/>
      <c r="AY22" s="109"/>
      <c r="AZ22" s="109"/>
      <c r="BA22" s="111"/>
      <c r="BB22" s="111"/>
      <c r="BC22" s="121"/>
      <c r="BD22" s="111"/>
      <c r="BE22" s="109"/>
      <c r="BF22" s="109"/>
      <c r="BG22" s="109"/>
      <c r="BH22" s="111"/>
      <c r="BI22" s="111"/>
      <c r="BJ22" s="121"/>
      <c r="BK22" s="111"/>
      <c r="BL22" s="109"/>
      <c r="BM22" s="109"/>
      <c r="BN22" s="109"/>
      <c r="BO22" s="111"/>
      <c r="BP22" s="111"/>
      <c r="BQ22" s="111"/>
      <c r="BR22" s="111"/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C22" s="111"/>
      <c r="CD22" s="111"/>
    </row>
    <row r="23" ht="18" customHeight="1" spans="1:136">
      <c r="A23" s="102" t="s">
        <v>64</v>
      </c>
      <c r="B23" s="102" t="s">
        <v>65</v>
      </c>
      <c r="C23" s="102" t="s">
        <v>2</v>
      </c>
      <c r="D23" s="120" t="s">
        <v>45</v>
      </c>
      <c r="E23" s="104">
        <v>46139</v>
      </c>
      <c r="F23" s="104">
        <v>46150</v>
      </c>
      <c r="G23" s="105"/>
      <c r="H23" s="106">
        <v>12</v>
      </c>
      <c r="I23" s="106">
        <v>10</v>
      </c>
      <c r="J23" s="107">
        <v>0</v>
      </c>
      <c r="K23" s="104"/>
      <c r="L23" s="104"/>
      <c r="M23" s="104"/>
      <c r="N23" s="120"/>
      <c r="O23" s="120"/>
      <c r="P23" s="104"/>
      <c r="Q23" s="108"/>
      <c r="R23" s="35"/>
      <c r="S23" s="111"/>
      <c r="T23" s="121"/>
      <c r="U23" s="111"/>
      <c r="V23" s="109"/>
      <c r="W23" s="109"/>
      <c r="X23" s="109"/>
      <c r="Y23" s="111"/>
      <c r="Z23" s="111"/>
      <c r="AA23" s="121"/>
      <c r="AB23" s="111"/>
      <c r="AC23" s="109"/>
      <c r="AD23" s="109"/>
      <c r="AE23" s="109"/>
      <c r="AF23" s="111"/>
      <c r="AG23" s="111"/>
      <c r="AH23" s="121"/>
      <c r="AI23" s="111"/>
      <c r="AJ23" s="109"/>
      <c r="AK23" s="109"/>
      <c r="AL23" s="109"/>
      <c r="AM23" s="111"/>
      <c r="AN23" s="111"/>
      <c r="AO23" s="121"/>
      <c r="AP23" s="111"/>
      <c r="AQ23" s="109"/>
      <c r="AR23" s="109"/>
      <c r="AS23" s="109"/>
      <c r="AT23" s="111"/>
      <c r="AU23" s="111"/>
      <c r="AV23" s="121"/>
      <c r="AW23" s="111"/>
      <c r="AX23" s="109"/>
      <c r="AY23" s="109"/>
      <c r="AZ23" s="109"/>
      <c r="BA23" s="111"/>
      <c r="BB23" s="111"/>
      <c r="BC23" s="121"/>
      <c r="BD23" s="111"/>
      <c r="BE23" s="109"/>
      <c r="BF23" s="109"/>
      <c r="BG23" s="109"/>
      <c r="BH23" s="111"/>
      <c r="BI23" s="111"/>
      <c r="BJ23" s="121"/>
      <c r="BK23" s="111"/>
      <c r="BL23" s="109"/>
      <c r="BM23" s="109"/>
      <c r="BN23" s="109"/>
      <c r="BO23" s="111"/>
      <c r="BP23" s="111"/>
      <c r="BQ23" s="111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C23" s="111"/>
      <c r="CD23" s="111"/>
    </row>
    <row r="24" ht="18" customHeight="1" spans="1:136">
      <c r="A24" s="102" t="s">
        <v>66</v>
      </c>
      <c r="B24" s="102" t="s">
        <v>67</v>
      </c>
      <c r="C24" s="102" t="s">
        <v>2</v>
      </c>
      <c r="D24" s="120" t="s">
        <v>45</v>
      </c>
      <c r="E24" s="104">
        <v>46148</v>
      </c>
      <c r="F24" s="104">
        <v>46178</v>
      </c>
      <c r="G24" s="105"/>
      <c r="H24" s="106">
        <v>31</v>
      </c>
      <c r="I24" s="106">
        <v>23</v>
      </c>
      <c r="J24" s="107">
        <v>0</v>
      </c>
      <c r="K24" s="104"/>
      <c r="L24" s="104"/>
      <c r="M24" s="104"/>
      <c r="N24" s="120"/>
      <c r="O24" s="120"/>
      <c r="P24" s="104"/>
      <c r="Q24" s="108"/>
      <c r="R24" s="35"/>
      <c r="S24" s="111"/>
      <c r="T24" s="121"/>
      <c r="U24" s="111"/>
      <c r="V24" s="109"/>
      <c r="W24" s="109"/>
      <c r="X24" s="109"/>
      <c r="Y24" s="111"/>
      <c r="Z24" s="111"/>
      <c r="AA24" s="121"/>
      <c r="AB24" s="111"/>
      <c r="AC24" s="109"/>
      <c r="AD24" s="109"/>
      <c r="AE24" s="109"/>
      <c r="AF24" s="111"/>
      <c r="AG24" s="111"/>
      <c r="AH24" s="121"/>
      <c r="AI24" s="111"/>
      <c r="AJ24" s="109"/>
      <c r="AK24" s="109"/>
      <c r="AL24" s="109"/>
      <c r="AM24" s="111"/>
      <c r="AN24" s="111"/>
      <c r="AO24" s="121"/>
      <c r="AP24" s="111"/>
      <c r="AQ24" s="109"/>
      <c r="AR24" s="109"/>
      <c r="AS24" s="109"/>
      <c r="AT24" s="111"/>
      <c r="AU24" s="111"/>
      <c r="AV24" s="121"/>
      <c r="AW24" s="111"/>
      <c r="AX24" s="109"/>
      <c r="AY24" s="109"/>
      <c r="AZ24" s="109"/>
      <c r="BA24" s="111"/>
      <c r="BB24" s="111"/>
      <c r="BC24" s="121"/>
      <c r="BD24" s="111"/>
      <c r="BE24" s="109"/>
      <c r="BF24" s="109"/>
      <c r="BG24" s="109"/>
      <c r="BH24" s="111"/>
      <c r="BI24" s="111"/>
      <c r="BJ24" s="121"/>
      <c r="BK24" s="111"/>
      <c r="BL24" s="109"/>
      <c r="BM24" s="109"/>
      <c r="BN24" s="109"/>
      <c r="BO24" s="111"/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1"/>
      <c r="CA24" s="111"/>
      <c r="CB24" s="111"/>
      <c r="CC24" s="111"/>
      <c r="CD24" s="111"/>
    </row>
    <row r="25" ht="18" customHeight="1" spans="1:136">
      <c r="A25" s="122" t="s">
        <v>68</v>
      </c>
      <c r="B25" s="102" t="s">
        <v>69</v>
      </c>
      <c r="C25" s="102" t="s">
        <v>2</v>
      </c>
      <c r="D25" s="120" t="s">
        <v>45</v>
      </c>
      <c r="E25" s="104">
        <v>46148</v>
      </c>
      <c r="F25" s="104">
        <v>46154</v>
      </c>
      <c r="G25" s="105"/>
      <c r="H25" s="106">
        <v>7</v>
      </c>
      <c r="I25" s="106">
        <v>5</v>
      </c>
      <c r="J25" s="107">
        <v>0</v>
      </c>
      <c r="K25" s="104"/>
      <c r="L25" s="104"/>
      <c r="M25" s="104"/>
      <c r="N25" s="120"/>
      <c r="O25" s="120"/>
      <c r="P25" s="104"/>
      <c r="Q25" s="123"/>
      <c r="R25" s="124"/>
      <c r="S25" s="124"/>
      <c r="T25" s="124"/>
      <c r="U25" s="124"/>
      <c r="V25" s="125"/>
      <c r="W25" s="123"/>
      <c r="X25" s="123"/>
      <c r="Y25" s="124"/>
      <c r="Z25" s="124"/>
      <c r="AA25" s="124"/>
      <c r="AB25" s="124"/>
      <c r="AC25" s="124"/>
      <c r="AD25" s="123"/>
      <c r="AE25" s="123"/>
      <c r="AF25" s="124"/>
      <c r="AG25" s="124"/>
      <c r="AH25" s="124"/>
      <c r="AI25" s="124"/>
      <c r="AJ25" s="124"/>
      <c r="AK25" s="123"/>
      <c r="AL25" s="123"/>
      <c r="AM25" s="124"/>
      <c r="AN25" s="124"/>
      <c r="AO25" s="124"/>
      <c r="AP25" s="124"/>
      <c r="AQ25" s="124"/>
      <c r="AR25" s="123"/>
      <c r="AS25" s="123"/>
      <c r="AT25" s="124"/>
      <c r="AU25" s="124"/>
      <c r="AV25" s="124"/>
      <c r="AW25" s="124"/>
      <c r="AX25" s="124"/>
      <c r="AY25" s="123"/>
      <c r="AZ25" s="123"/>
      <c r="BA25" s="124"/>
      <c r="BB25" s="124"/>
      <c r="BC25" s="124"/>
      <c r="BD25" s="124"/>
      <c r="BE25" s="124"/>
      <c r="BF25" s="123"/>
      <c r="BG25" s="123"/>
      <c r="BH25" s="124"/>
      <c r="BI25" s="124"/>
      <c r="BJ25" s="124"/>
      <c r="BK25" s="124"/>
      <c r="BL25" s="124"/>
      <c r="BM25" s="123"/>
      <c r="BN25" s="123"/>
      <c r="BO25" s="124"/>
      <c r="BP25" s="124"/>
      <c r="BQ25" s="124"/>
      <c r="BR25" s="124"/>
      <c r="BS25" s="124"/>
      <c r="BT25" s="124"/>
      <c r="BU25" s="124"/>
      <c r="BV25" s="124"/>
      <c r="BW25" s="124"/>
      <c r="BX25" s="124"/>
      <c r="BY25" s="124"/>
      <c r="BZ25" s="124"/>
      <c r="CA25" s="15"/>
      <c r="CB25" s="15"/>
      <c r="CC25" s="15"/>
      <c r="CD25" s="15"/>
    </row>
    <row r="26" ht="18" customHeight="1" spans="1:136">
      <c r="A26" s="102" t="s">
        <v>70</v>
      </c>
      <c r="B26" s="102" t="s">
        <v>71</v>
      </c>
      <c r="C26" s="102" t="s">
        <v>2</v>
      </c>
      <c r="D26" s="120" t="s">
        <v>45</v>
      </c>
      <c r="E26" s="104">
        <v>46152</v>
      </c>
      <c r="F26" s="126">
        <v>46162</v>
      </c>
      <c r="G26" s="105"/>
      <c r="H26" s="106">
        <v>11</v>
      </c>
      <c r="I26" s="106">
        <v>7</v>
      </c>
      <c r="J26" s="107">
        <v>0</v>
      </c>
      <c r="K26" s="104"/>
      <c r="L26" s="104"/>
      <c r="M26" s="104"/>
      <c r="N26" s="120"/>
      <c r="O26" s="120"/>
      <c r="P26" s="104"/>
      <c r="Q26" s="123"/>
      <c r="R26" s="111"/>
      <c r="S26" s="15"/>
      <c r="T26" s="15"/>
      <c r="U26" s="111"/>
      <c r="V26" s="111"/>
      <c r="W26" s="124"/>
      <c r="X26" s="124"/>
      <c r="Y26" s="15"/>
      <c r="Z26" s="15"/>
      <c r="AA26" s="15"/>
      <c r="AB26" s="111"/>
      <c r="AC26" s="111"/>
      <c r="AD26" s="124"/>
      <c r="AE26" s="124"/>
      <c r="AF26" s="111"/>
      <c r="AG26" s="111"/>
      <c r="AH26" s="110"/>
      <c r="AI26" s="111"/>
      <c r="AJ26" s="111"/>
      <c r="AK26" s="124"/>
      <c r="AL26" s="124"/>
      <c r="AM26" s="110"/>
      <c r="AN26" s="110"/>
      <c r="AO26" s="110"/>
      <c r="AP26" s="111"/>
      <c r="AQ26" s="111"/>
      <c r="AR26" s="124"/>
      <c r="AS26" s="124"/>
      <c r="AT26" s="111"/>
      <c r="AU26" s="111"/>
      <c r="AV26" s="111"/>
      <c r="AW26" s="111"/>
      <c r="AX26" s="111"/>
      <c r="AY26" s="124"/>
      <c r="AZ26" s="124"/>
      <c r="BA26" s="111"/>
      <c r="BB26" s="111"/>
      <c r="BC26" s="111"/>
      <c r="BD26" s="111"/>
      <c r="BE26" s="111"/>
      <c r="BF26" s="124"/>
      <c r="BG26" s="124"/>
      <c r="BH26" s="111"/>
      <c r="BI26" s="111"/>
      <c r="BJ26" s="111"/>
      <c r="BK26" s="111"/>
      <c r="BL26" s="111"/>
      <c r="BM26" s="124"/>
      <c r="BN26" s="124"/>
      <c r="BO26" s="15"/>
      <c r="BP26" s="15"/>
      <c r="BQ26" s="15"/>
      <c r="BR26" s="111"/>
      <c r="BS26" s="111"/>
      <c r="BT26" s="15"/>
      <c r="BU26" s="15"/>
      <c r="BV26" s="15"/>
      <c r="BW26" s="15"/>
      <c r="BX26" s="15"/>
      <c r="BY26" s="111"/>
      <c r="BZ26" s="111"/>
      <c r="CA26" s="15"/>
      <c r="CB26" s="15"/>
      <c r="CC26" s="15"/>
      <c r="CD26" s="15"/>
    </row>
    <row r="27" ht="18" customHeight="1" spans="1:136">
      <c r="A27" s="102" t="s">
        <v>72</v>
      </c>
      <c r="B27" s="102" t="s">
        <v>73</v>
      </c>
      <c r="C27" s="102" t="s">
        <v>2</v>
      </c>
      <c r="D27" s="120" t="s">
        <v>45</v>
      </c>
      <c r="E27" s="104">
        <v>46157</v>
      </c>
      <c r="F27" s="104">
        <v>46165</v>
      </c>
      <c r="G27" s="105"/>
      <c r="H27" s="106">
        <v>9</v>
      </c>
      <c r="I27" s="106">
        <v>7</v>
      </c>
      <c r="J27" s="107">
        <v>0</v>
      </c>
      <c r="K27" s="104"/>
      <c r="L27" s="104"/>
      <c r="M27" s="104"/>
      <c r="N27" s="120"/>
      <c r="O27" s="120"/>
      <c r="P27" s="104"/>
      <c r="Q27" s="123"/>
      <c r="R27" s="111"/>
      <c r="S27" s="15"/>
      <c r="T27" s="15"/>
      <c r="U27" s="111"/>
      <c r="V27" s="111"/>
      <c r="W27" s="124"/>
      <c r="X27" s="124"/>
      <c r="Y27" s="15"/>
      <c r="Z27" s="15"/>
      <c r="AA27" s="15"/>
      <c r="AB27" s="111"/>
      <c r="AC27" s="111"/>
      <c r="AD27" s="124"/>
      <c r="AE27" s="124"/>
      <c r="AF27" s="111"/>
      <c r="AG27" s="111"/>
      <c r="AH27" s="110"/>
      <c r="AI27" s="111"/>
      <c r="AJ27" s="111"/>
      <c r="AK27" s="124"/>
      <c r="AL27" s="124"/>
      <c r="AM27" s="110"/>
      <c r="AN27" s="110"/>
      <c r="AO27" s="110"/>
      <c r="AP27" s="111"/>
      <c r="AQ27" s="111"/>
      <c r="AR27" s="124"/>
      <c r="AS27" s="124"/>
      <c r="AT27" s="111"/>
      <c r="AU27" s="111"/>
      <c r="AV27" s="111"/>
      <c r="AW27" s="111"/>
      <c r="AX27" s="111"/>
      <c r="AY27" s="124"/>
      <c r="AZ27" s="124"/>
      <c r="BA27" s="111"/>
      <c r="BB27" s="111"/>
      <c r="BC27" s="111"/>
      <c r="BD27" s="111"/>
      <c r="BE27" s="111"/>
      <c r="BF27" s="124"/>
      <c r="BG27" s="124"/>
      <c r="BH27" s="111"/>
      <c r="BI27" s="111"/>
      <c r="BJ27" s="111"/>
      <c r="BK27" s="111"/>
      <c r="BL27" s="111"/>
      <c r="BM27" s="124"/>
      <c r="BN27" s="124"/>
      <c r="BO27" s="15"/>
      <c r="BP27" s="15"/>
      <c r="BQ27" s="15"/>
      <c r="BR27" s="111"/>
      <c r="BS27" s="111"/>
      <c r="BT27" s="15"/>
      <c r="BU27" s="15"/>
      <c r="BV27" s="15"/>
      <c r="BW27" s="15"/>
      <c r="BX27" s="15"/>
      <c r="BY27" s="111"/>
      <c r="BZ27" s="111"/>
      <c r="CA27" s="15"/>
      <c r="CB27" s="15"/>
      <c r="CC27" s="15"/>
      <c r="CD27" s="15"/>
    </row>
    <row r="28" ht="18" customHeight="1" spans="1:136">
      <c r="A28" s="96" t="s">
        <v>74</v>
      </c>
      <c r="B28" s="114" t="s">
        <v>75</v>
      </c>
      <c r="C28" s="114" t="s">
        <v>2</v>
      </c>
      <c r="D28" s="115" t="s">
        <v>45</v>
      </c>
      <c r="E28" s="116">
        <v>46162</v>
      </c>
      <c r="F28" s="116">
        <v>46172</v>
      </c>
      <c r="G28" s="115"/>
      <c r="H28" s="115">
        <v>11</v>
      </c>
      <c r="I28" s="115">
        <v>9</v>
      </c>
      <c r="J28" s="117">
        <v>0</v>
      </c>
      <c r="K28" s="116"/>
      <c r="L28" s="116"/>
      <c r="M28" s="104"/>
      <c r="N28" s="115"/>
      <c r="O28" s="115"/>
      <c r="P28" s="104"/>
      <c r="Q28" s="118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9"/>
      <c r="DN28" s="119"/>
      <c r="DO28" s="119"/>
      <c r="DP28" s="119"/>
      <c r="DQ28" s="119"/>
      <c r="DR28" s="119"/>
      <c r="DS28" s="119"/>
      <c r="DT28" s="119"/>
      <c r="DU28" s="119"/>
      <c r="DV28" s="119"/>
      <c r="DW28" s="119"/>
      <c r="DX28" s="119"/>
      <c r="DY28" s="119"/>
      <c r="DZ28" s="119"/>
      <c r="EA28" s="119"/>
      <c r="EB28" s="119"/>
      <c r="EC28" s="119"/>
      <c r="ED28" s="119"/>
      <c r="EE28" s="119"/>
      <c r="EF28" s="119"/>
    </row>
    <row r="29" ht="18" customHeight="1" spans="1:136">
      <c r="A29" s="102" t="s">
        <v>76</v>
      </c>
      <c r="B29" s="127" t="s">
        <v>77</v>
      </c>
      <c r="C29" s="127" t="s">
        <v>2</v>
      </c>
      <c r="D29" s="120" t="s">
        <v>45</v>
      </c>
      <c r="E29" s="104">
        <v>46167</v>
      </c>
      <c r="F29" s="104">
        <v>46178</v>
      </c>
      <c r="G29" s="105"/>
      <c r="H29" s="106">
        <v>12</v>
      </c>
      <c r="I29" s="106">
        <v>10</v>
      </c>
      <c r="J29" s="107">
        <v>0</v>
      </c>
      <c r="K29" s="104"/>
      <c r="L29" s="104"/>
      <c r="M29" s="104"/>
      <c r="N29" s="120"/>
      <c r="O29" s="120"/>
      <c r="P29" s="104"/>
      <c r="Q29" s="128"/>
      <c r="R29" s="15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1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</row>
    <row r="30" spans="1:136">
      <c r="A30" s="19"/>
      <c r="B30" s="127"/>
      <c r="C30" s="127"/>
      <c r="D30" s="120"/>
      <c r="E30" s="104"/>
      <c r="F30" s="104"/>
      <c r="G30" s="105"/>
      <c r="H30" s="106"/>
      <c r="I30" s="106"/>
      <c r="J30" s="107"/>
      <c r="K30" s="104"/>
      <c r="L30" s="104"/>
      <c r="M30" s="104"/>
      <c r="N30" s="120"/>
      <c r="O30" s="120"/>
      <c r="P30" s="120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</row>
    <row r="31" spans="1:136">
      <c r="A31" s="19"/>
      <c r="B31" s="127"/>
      <c r="C31" s="127"/>
      <c r="D31" s="120"/>
      <c r="E31" s="104"/>
      <c r="F31" s="104"/>
      <c r="G31" s="105"/>
      <c r="H31" s="106"/>
      <c r="I31" s="106"/>
      <c r="J31" s="107"/>
      <c r="K31" s="104"/>
      <c r="L31" s="104"/>
      <c r="M31" s="104"/>
      <c r="N31" s="120"/>
      <c r="O31" s="120"/>
      <c r="P31" s="120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</row>
    <row r="32" spans="1:136">
      <c r="A32" s="19"/>
      <c r="B32" s="127"/>
      <c r="C32" s="127"/>
      <c r="D32" s="120"/>
      <c r="E32" s="104"/>
      <c r="F32" s="104"/>
      <c r="G32" s="105"/>
      <c r="H32" s="106"/>
      <c r="I32" s="106"/>
      <c r="J32" s="107"/>
      <c r="K32" s="104"/>
      <c r="L32" s="104"/>
      <c r="M32" s="104"/>
      <c r="N32" s="120"/>
      <c r="O32" s="120"/>
      <c r="P32" s="120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</row>
    <row r="33" spans="1:82">
      <c r="A33" s="19"/>
      <c r="B33" s="127"/>
      <c r="C33" s="127"/>
      <c r="D33" s="120"/>
      <c r="E33" s="104"/>
      <c r="F33" s="104"/>
      <c r="G33" s="105"/>
      <c r="H33" s="106"/>
      <c r="I33" s="106"/>
      <c r="J33" s="107"/>
      <c r="K33" s="104"/>
      <c r="L33" s="104"/>
      <c r="M33" s="104"/>
      <c r="N33" s="120"/>
      <c r="O33" s="120"/>
      <c r="P33" s="120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</row>
    <row r="34" spans="1:82">
      <c r="A34" s="19"/>
      <c r="B34" s="127"/>
      <c r="C34" s="127"/>
      <c r="D34" s="120"/>
      <c r="E34" s="104"/>
      <c r="F34" s="104"/>
      <c r="G34" s="105"/>
      <c r="H34" s="106"/>
      <c r="I34" s="106"/>
      <c r="J34" s="107"/>
      <c r="K34" s="104"/>
      <c r="L34" s="104"/>
      <c r="M34" s="104"/>
      <c r="N34" s="120"/>
      <c r="O34" s="120"/>
      <c r="P34" s="120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</row>
    <row r="35" spans="1:82">
      <c r="A35" s="19"/>
      <c r="B35" s="127"/>
      <c r="C35" s="127"/>
      <c r="D35" s="120"/>
      <c r="E35" s="104"/>
      <c r="F35" s="104" t="s">
        <v>78</v>
      </c>
      <c r="G35" s="105"/>
      <c r="H35" s="106">
        <v>130</v>
      </c>
      <c r="I35" s="106">
        <v>130</v>
      </c>
      <c r="J35" s="107"/>
      <c r="K35" s="104"/>
      <c r="L35" s="104"/>
      <c r="M35" s="104"/>
      <c r="N35" s="120"/>
      <c r="O35" s="120"/>
      <c r="P35" s="120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</row>
    <row r="36" spans="1:82">
      <c r="A36" s="19"/>
      <c r="B36" s="127"/>
      <c r="C36" s="127"/>
      <c r="D36" s="120"/>
      <c r="E36" s="104"/>
      <c r="F36" s="104" t="s">
        <v>79</v>
      </c>
      <c r="G36" s="105"/>
      <c r="H36" s="106">
        <v>41</v>
      </c>
      <c r="I36" s="106">
        <v>41</v>
      </c>
      <c r="J36" s="107"/>
      <c r="K36" s="104"/>
      <c r="L36" s="104"/>
      <c r="M36" s="104"/>
      <c r="N36" s="120"/>
      <c r="O36" s="120"/>
      <c r="P36" s="120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</row>
    <row r="37" spans="1:82">
      <c r="A37" s="19"/>
      <c r="B37" s="127"/>
      <c r="C37" s="127"/>
      <c r="D37" s="120"/>
      <c r="E37" s="104"/>
      <c r="F37" s="104" t="s">
        <v>80</v>
      </c>
      <c r="G37" s="105"/>
      <c r="H37" s="106">
        <v>52</v>
      </c>
      <c r="I37" s="106">
        <v>35</v>
      </c>
      <c r="J37" s="107">
        <f>(I37/H37)</f>
        <v>0.673076923076923</v>
      </c>
      <c r="K37" s="104"/>
      <c r="L37" s="104"/>
      <c r="M37" s="104"/>
      <c r="N37" s="120"/>
      <c r="O37" s="120"/>
      <c r="P37" s="120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</row>
    <row r="38" spans="1:82">
      <c r="A38" s="19"/>
      <c r="B38" s="127"/>
      <c r="C38" s="127"/>
      <c r="D38" s="120"/>
      <c r="E38" s="104"/>
      <c r="F38" s="104" t="s">
        <v>81</v>
      </c>
      <c r="G38" s="105"/>
      <c r="H38" s="106">
        <f>SUM(H35:H37)</f>
        <v>223</v>
      </c>
      <c r="I38" s="106">
        <f>SUM(I35:I37)</f>
        <v>206</v>
      </c>
      <c r="J38" s="107">
        <f>I38/H38</f>
        <v>0.923766816143498</v>
      </c>
      <c r="K38" s="104"/>
      <c r="L38" s="104"/>
      <c r="M38" s="104"/>
      <c r="N38" s="120"/>
      <c r="O38" s="120"/>
      <c r="P38" s="120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</row>
    <row r="39" spans="1:82">
      <c r="A39" s="19"/>
      <c r="B39" s="127"/>
      <c r="C39" s="127"/>
      <c r="D39" s="120"/>
      <c r="E39" s="104"/>
      <c r="F39" s="104"/>
      <c r="G39" s="105"/>
      <c r="H39" s="106"/>
      <c r="I39" s="106"/>
      <c r="J39" s="107"/>
      <c r="K39" s="104"/>
      <c r="L39" s="104"/>
      <c r="M39" s="104"/>
      <c r="N39" s="120"/>
      <c r="O39" s="120"/>
      <c r="P39" s="120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</row>
    <row r="40" spans="1:82">
      <c r="A40" s="19"/>
      <c r="B40" s="127"/>
      <c r="C40" s="127"/>
      <c r="D40" s="120"/>
      <c r="E40" s="104"/>
      <c r="F40" s="104"/>
      <c r="G40" s="105"/>
      <c r="H40" s="106"/>
      <c r="I40" s="106"/>
      <c r="J40" s="107"/>
      <c r="K40" s="104"/>
      <c r="L40" s="104"/>
      <c r="M40" s="104"/>
      <c r="N40" s="120"/>
      <c r="O40" s="120"/>
      <c r="P40" s="120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</row>
    <row r="41" spans="1:82">
      <c r="A41" s="19"/>
      <c r="B41" s="127"/>
      <c r="C41" s="127"/>
      <c r="D41" s="120"/>
      <c r="E41" s="104"/>
      <c r="F41" s="104"/>
      <c r="G41" s="105"/>
      <c r="H41" s="106"/>
      <c r="I41" s="106"/>
      <c r="J41" s="107"/>
      <c r="K41" s="104"/>
      <c r="L41" s="104"/>
      <c r="M41" s="104"/>
      <c r="N41" s="120"/>
      <c r="O41" s="120"/>
      <c r="P41" s="120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</row>
    <row r="42" spans="1:82">
      <c r="A42" s="19"/>
      <c r="B42" s="127"/>
      <c r="C42" s="127"/>
      <c r="D42" s="120"/>
      <c r="E42" s="104"/>
      <c r="F42" s="104"/>
      <c r="G42" s="105"/>
      <c r="H42" s="106"/>
      <c r="I42" s="106"/>
      <c r="J42" s="107"/>
      <c r="K42" s="104"/>
      <c r="L42" s="104"/>
      <c r="M42" s="104"/>
      <c r="N42" s="120"/>
      <c r="O42" s="120"/>
      <c r="P42" s="120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</row>
    <row r="43" spans="1:82">
      <c r="A43" s="19"/>
      <c r="B43" s="127"/>
      <c r="C43" s="127"/>
      <c r="D43" s="120"/>
      <c r="E43" s="104"/>
      <c r="F43" s="104"/>
      <c r="G43" s="105"/>
      <c r="H43" s="106"/>
      <c r="I43" s="106"/>
      <c r="J43" s="107"/>
      <c r="K43" s="104"/>
      <c r="L43" s="104"/>
      <c r="M43" s="104"/>
      <c r="N43" s="120"/>
      <c r="O43" s="120"/>
      <c r="P43" s="120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</row>
    <row r="44" spans="1:82">
      <c r="A44" s="19"/>
      <c r="B44" s="127"/>
      <c r="C44" s="127"/>
      <c r="D44" s="120"/>
      <c r="E44" s="104"/>
      <c r="F44" s="104"/>
      <c r="G44" s="105"/>
      <c r="H44" s="106"/>
      <c r="I44" s="106"/>
      <c r="J44" s="107"/>
      <c r="K44" s="104"/>
      <c r="L44" s="104"/>
      <c r="M44" s="104"/>
      <c r="N44" s="120"/>
      <c r="O44" s="120"/>
      <c r="P44" s="120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</row>
    <row r="45" spans="1:82">
      <c r="A45" s="19"/>
      <c r="B45" s="127"/>
      <c r="C45" s="127"/>
      <c r="D45" s="120"/>
      <c r="E45" s="104"/>
      <c r="F45" s="104"/>
      <c r="G45" s="105"/>
      <c r="H45" s="106"/>
      <c r="I45" s="106"/>
      <c r="J45" s="107"/>
      <c r="K45" s="104"/>
      <c r="L45" s="104"/>
      <c r="M45" s="104"/>
      <c r="N45" s="120"/>
      <c r="O45" s="120"/>
      <c r="P45" s="120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</row>
    <row r="46" spans="1:82">
      <c r="A46" s="19"/>
      <c r="B46" s="127"/>
      <c r="C46" s="127"/>
      <c r="D46" s="120"/>
      <c r="E46" s="104"/>
      <c r="F46" s="104"/>
      <c r="G46" s="105"/>
      <c r="H46" s="106"/>
      <c r="I46" s="106"/>
      <c r="J46" s="107"/>
      <c r="K46" s="104"/>
      <c r="L46" s="104"/>
      <c r="M46" s="104"/>
      <c r="N46" s="120"/>
      <c r="O46" s="120"/>
      <c r="P46" s="120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</row>
    <row r="47" spans="1:82">
      <c r="A47" s="19"/>
      <c r="B47" s="127"/>
      <c r="C47" s="127"/>
      <c r="D47" s="120"/>
      <c r="E47" s="104"/>
      <c r="F47" s="104"/>
      <c r="G47" s="105"/>
      <c r="H47" s="106"/>
      <c r="I47" s="106"/>
      <c r="J47" s="107"/>
      <c r="K47" s="104"/>
      <c r="L47" s="104"/>
      <c r="M47" s="104"/>
      <c r="N47" s="120"/>
      <c r="O47" s="120"/>
      <c r="P47" s="120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</row>
    <row r="48" spans="1:82">
      <c r="A48" s="19"/>
      <c r="B48" s="127"/>
      <c r="C48" s="127"/>
      <c r="D48" s="120"/>
      <c r="E48" s="104"/>
      <c r="F48" s="104"/>
      <c r="G48" s="105"/>
      <c r="H48" s="106"/>
      <c r="I48" s="106"/>
      <c r="J48" s="107"/>
      <c r="K48" s="104"/>
      <c r="L48" s="104"/>
      <c r="M48" s="104"/>
      <c r="N48" s="120"/>
      <c r="O48" s="120"/>
      <c r="P48" s="120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</row>
    <row r="49" spans="1:82">
      <c r="A49" s="19"/>
      <c r="B49" s="127"/>
      <c r="C49" s="127"/>
      <c r="D49" s="120"/>
      <c r="E49" s="104"/>
      <c r="F49" s="104"/>
      <c r="G49" s="105"/>
      <c r="H49" s="106"/>
      <c r="I49" s="106"/>
      <c r="J49" s="107"/>
      <c r="K49" s="104"/>
      <c r="L49" s="104"/>
      <c r="M49" s="104"/>
      <c r="N49" s="120"/>
      <c r="O49" s="120"/>
      <c r="P49" s="120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</row>
    <row r="50" spans="1:82">
      <c r="A50" s="19"/>
      <c r="B50" s="127"/>
      <c r="C50" s="127"/>
      <c r="D50" s="120"/>
      <c r="E50" s="104"/>
      <c r="F50" s="104"/>
      <c r="G50" s="105"/>
      <c r="H50" s="106"/>
      <c r="I50" s="106"/>
      <c r="J50" s="107"/>
      <c r="K50" s="104"/>
      <c r="L50" s="104"/>
      <c r="M50" s="104"/>
      <c r="N50" s="120"/>
      <c r="O50" s="120"/>
      <c r="P50" s="120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</row>
    <row r="51" spans="1:82">
      <c r="A51" s="19"/>
      <c r="B51" s="127"/>
      <c r="C51" s="127"/>
      <c r="D51" s="120"/>
      <c r="E51" s="104"/>
      <c r="F51" s="104"/>
      <c r="G51" s="105"/>
      <c r="H51" s="106"/>
      <c r="I51" s="106"/>
      <c r="J51" s="107"/>
      <c r="K51" s="104"/>
      <c r="L51" s="104"/>
      <c r="M51" s="104"/>
      <c r="N51" s="120"/>
      <c r="O51" s="120"/>
      <c r="P51" s="120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</row>
    <row r="52" spans="1:82">
      <c r="A52" s="19"/>
      <c r="B52" s="127"/>
      <c r="C52" s="127"/>
      <c r="D52" s="120"/>
      <c r="E52" s="104"/>
      <c r="F52" s="104"/>
      <c r="G52" s="105"/>
      <c r="H52" s="106"/>
      <c r="I52" s="106"/>
      <c r="J52" s="107"/>
      <c r="K52" s="104"/>
      <c r="L52" s="104"/>
      <c r="M52" s="104"/>
      <c r="N52" s="120"/>
      <c r="O52" s="120"/>
      <c r="P52" s="120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</row>
    <row r="53" spans="1:82">
      <c r="A53" s="19"/>
      <c r="B53" s="127"/>
      <c r="C53" s="127"/>
      <c r="D53" s="120"/>
      <c r="E53" s="104"/>
      <c r="F53" s="104"/>
      <c r="G53" s="105"/>
      <c r="H53" s="106"/>
      <c r="I53" s="106"/>
      <c r="J53" s="107"/>
      <c r="K53" s="104"/>
      <c r="L53" s="104"/>
      <c r="M53" s="104"/>
      <c r="N53" s="120"/>
      <c r="O53" s="120"/>
      <c r="P53" s="120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</row>
    <row r="54" spans="1:82">
      <c r="A54" s="19"/>
      <c r="B54" s="127"/>
      <c r="C54" s="127"/>
      <c r="D54" s="120"/>
      <c r="E54" s="104"/>
      <c r="F54" s="104"/>
      <c r="G54" s="105"/>
      <c r="H54" s="106"/>
      <c r="I54" s="106"/>
      <c r="J54" s="107"/>
      <c r="K54" s="104"/>
      <c r="L54" s="104"/>
      <c r="M54" s="104"/>
      <c r="N54" s="120"/>
      <c r="O54" s="120"/>
      <c r="P54" s="120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</row>
    <row r="55" spans="1:82">
      <c r="A55" s="19"/>
      <c r="B55" s="127"/>
      <c r="C55" s="127"/>
      <c r="D55" s="120"/>
      <c r="E55" s="104"/>
      <c r="F55" s="104"/>
      <c r="G55" s="105"/>
      <c r="H55" s="106"/>
      <c r="I55" s="106"/>
      <c r="J55" s="107"/>
      <c r="K55" s="104"/>
      <c r="L55" s="104"/>
      <c r="M55" s="104"/>
      <c r="N55" s="120"/>
      <c r="O55" s="120"/>
      <c r="P55" s="120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</row>
    <row r="56" spans="1:82">
      <c r="A56" s="19"/>
      <c r="B56" s="127"/>
      <c r="C56" s="127"/>
      <c r="D56" s="120"/>
      <c r="E56" s="104"/>
      <c r="F56" s="104"/>
      <c r="G56" s="105"/>
      <c r="H56" s="106"/>
      <c r="I56" s="106"/>
      <c r="J56" s="107"/>
      <c r="K56" s="104"/>
      <c r="L56" s="104"/>
      <c r="M56" s="104"/>
      <c r="N56" s="120"/>
      <c r="O56" s="120"/>
      <c r="P56" s="120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</row>
    <row r="57" spans="1:82">
      <c r="A57" s="19"/>
      <c r="B57" s="127"/>
      <c r="C57" s="127"/>
      <c r="D57" s="120"/>
      <c r="E57" s="104"/>
      <c r="F57" s="104"/>
      <c r="G57" s="105"/>
      <c r="H57" s="106"/>
      <c r="I57" s="106"/>
      <c r="J57" s="107"/>
      <c r="K57" s="104"/>
      <c r="L57" s="104"/>
      <c r="M57" s="104"/>
      <c r="N57" s="120"/>
      <c r="O57" s="120"/>
      <c r="P57" s="120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</row>
    <row r="58" spans="1:82">
      <c r="A58" s="19"/>
      <c r="B58" s="127"/>
      <c r="C58" s="127"/>
      <c r="D58" s="120"/>
      <c r="E58" s="104"/>
      <c r="F58" s="104"/>
      <c r="G58" s="105"/>
      <c r="H58" s="106"/>
      <c r="I58" s="106"/>
      <c r="J58" s="107"/>
      <c r="K58" s="104"/>
      <c r="L58" s="104"/>
      <c r="M58" s="104"/>
      <c r="N58" s="120"/>
      <c r="O58" s="120"/>
      <c r="P58" s="120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</row>
    <row r="59" spans="1:82">
      <c r="A59" s="19"/>
      <c r="B59" s="127"/>
      <c r="C59" s="127"/>
      <c r="D59" s="120"/>
      <c r="E59" s="104"/>
      <c r="F59" s="104"/>
      <c r="G59" s="105"/>
      <c r="H59" s="106"/>
      <c r="I59" s="106"/>
      <c r="J59" s="107"/>
      <c r="K59" s="104"/>
      <c r="L59" s="104"/>
      <c r="M59" s="104"/>
      <c r="N59" s="120"/>
      <c r="O59" s="120"/>
      <c r="P59" s="120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</row>
    <row r="60" spans="1:82">
      <c r="A60" s="19"/>
      <c r="B60" s="127"/>
      <c r="C60" s="127"/>
      <c r="D60" s="120"/>
      <c r="E60" s="104"/>
      <c r="F60" s="104"/>
      <c r="G60" s="105"/>
      <c r="H60" s="106"/>
      <c r="I60" s="106"/>
      <c r="J60" s="107"/>
      <c r="K60" s="104"/>
      <c r="L60" s="104"/>
      <c r="M60" s="104"/>
      <c r="N60" s="120"/>
      <c r="O60" s="120"/>
      <c r="P60" s="120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</row>
    <row r="61" spans="1:82">
      <c r="A61" s="19"/>
      <c r="B61" s="127"/>
      <c r="C61" s="127"/>
      <c r="D61" s="120"/>
      <c r="E61" s="104"/>
      <c r="F61" s="104"/>
      <c r="G61" s="105"/>
      <c r="H61" s="106"/>
      <c r="I61" s="106"/>
      <c r="J61" s="107"/>
      <c r="K61" s="104"/>
      <c r="L61" s="104"/>
      <c r="M61" s="104"/>
      <c r="N61" s="120"/>
      <c r="O61" s="120"/>
      <c r="P61" s="120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</row>
    <row r="62" spans="1:82">
      <c r="A62" s="19"/>
      <c r="B62" s="127"/>
      <c r="C62" s="127"/>
      <c r="D62" s="120"/>
      <c r="E62" s="104"/>
      <c r="F62" s="104"/>
      <c r="G62" s="105"/>
      <c r="H62" s="106"/>
      <c r="I62" s="106"/>
      <c r="J62" s="107"/>
      <c r="K62" s="104"/>
      <c r="L62" s="104"/>
      <c r="M62" s="104"/>
      <c r="N62" s="120"/>
      <c r="O62" s="120"/>
      <c r="P62" s="120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</row>
    <row r="63" spans="1:82">
      <c r="A63" s="19"/>
      <c r="B63" s="127"/>
      <c r="C63" s="127"/>
      <c r="D63" s="120"/>
      <c r="E63" s="104"/>
      <c r="F63" s="104"/>
      <c r="G63" s="105"/>
      <c r="H63" s="106"/>
      <c r="I63" s="106"/>
      <c r="J63" s="107"/>
      <c r="K63" s="104"/>
      <c r="L63" s="104"/>
      <c r="M63" s="104"/>
      <c r="N63" s="120"/>
      <c r="O63" s="120"/>
      <c r="P63" s="120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</row>
    <row r="64" spans="1:82">
      <c r="A64" s="19"/>
      <c r="B64" s="127"/>
      <c r="C64" s="127"/>
      <c r="D64" s="120"/>
      <c r="E64" s="104"/>
      <c r="F64" s="104"/>
      <c r="G64" s="105"/>
      <c r="H64" s="106"/>
      <c r="I64" s="106"/>
      <c r="J64" s="107"/>
      <c r="K64" s="104"/>
      <c r="L64" s="104"/>
      <c r="M64" s="104"/>
      <c r="N64" s="120"/>
      <c r="O64" s="120"/>
      <c r="P64" s="120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</row>
    <row r="65" spans="1:82">
      <c r="A65" s="19"/>
      <c r="B65" s="127"/>
      <c r="C65" s="127"/>
      <c r="D65" s="120"/>
      <c r="E65" s="104"/>
      <c r="F65" s="104"/>
      <c r="G65" s="105"/>
      <c r="H65" s="106"/>
      <c r="I65" s="106"/>
      <c r="J65" s="107"/>
      <c r="K65" s="104"/>
      <c r="L65" s="104"/>
      <c r="M65" s="104"/>
      <c r="N65" s="120"/>
      <c r="O65" s="120"/>
      <c r="P65" s="120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</row>
    <row r="66" spans="1:82">
      <c r="A66" s="19"/>
      <c r="B66" s="127"/>
      <c r="C66" s="127"/>
      <c r="D66" s="120"/>
      <c r="E66" s="104"/>
      <c r="F66" s="104"/>
      <c r="G66" s="105"/>
      <c r="H66" s="106"/>
      <c r="I66" s="106"/>
      <c r="J66" s="107"/>
      <c r="K66" s="104"/>
      <c r="L66" s="104"/>
      <c r="M66" s="104"/>
      <c r="N66" s="120"/>
      <c r="O66" s="120"/>
      <c r="P66" s="120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</row>
    <row r="67" spans="1:82">
      <c r="A67" s="19"/>
      <c r="B67" s="127"/>
      <c r="C67" s="127"/>
      <c r="D67" s="120"/>
      <c r="E67" s="104"/>
      <c r="F67" s="104"/>
      <c r="G67" s="105"/>
      <c r="H67" s="106"/>
      <c r="I67" s="106"/>
      <c r="J67" s="107"/>
      <c r="K67" s="104"/>
      <c r="L67" s="104"/>
      <c r="M67" s="104"/>
      <c r="N67" s="120"/>
      <c r="O67" s="120"/>
      <c r="P67" s="120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</row>
    <row r="68" spans="1:82">
      <c r="A68" s="19"/>
      <c r="B68" s="127"/>
      <c r="C68" s="127"/>
      <c r="D68" s="120"/>
      <c r="E68" s="104"/>
      <c r="F68" s="104"/>
      <c r="G68" s="105"/>
      <c r="H68" s="106"/>
      <c r="I68" s="106"/>
      <c r="J68" s="107"/>
      <c r="K68" s="104"/>
      <c r="L68" s="104"/>
      <c r="M68" s="104"/>
      <c r="N68" s="120"/>
      <c r="O68" s="120"/>
      <c r="P68" s="120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</row>
    <row r="69" spans="1:82">
      <c r="A69" s="19"/>
      <c r="B69" s="127"/>
      <c r="C69" s="127"/>
      <c r="D69" s="120"/>
      <c r="E69" s="104"/>
      <c r="F69" s="104"/>
      <c r="G69" s="105"/>
      <c r="H69" s="106"/>
      <c r="I69" s="106"/>
      <c r="J69" s="107"/>
      <c r="K69" s="104"/>
      <c r="L69" s="104"/>
      <c r="M69" s="104"/>
      <c r="N69" s="120"/>
      <c r="O69" s="120"/>
      <c r="P69" s="120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</row>
    <row r="70" spans="1:82">
      <c r="A70" s="19"/>
      <c r="B70" s="127"/>
      <c r="C70" s="127"/>
      <c r="D70" s="120"/>
      <c r="E70" s="104"/>
      <c r="F70" s="104"/>
      <c r="G70" s="105"/>
      <c r="H70" s="106"/>
      <c r="I70" s="106"/>
      <c r="J70" s="107"/>
      <c r="K70" s="104"/>
      <c r="L70" s="104"/>
      <c r="M70" s="104"/>
      <c r="N70" s="120"/>
      <c r="O70" s="120"/>
      <c r="P70" s="120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</row>
    <row r="71" spans="1:82">
      <c r="A71" s="19"/>
      <c r="B71" s="127"/>
      <c r="C71" s="127"/>
      <c r="D71" s="120"/>
      <c r="E71" s="104"/>
      <c r="F71" s="104"/>
      <c r="G71" s="105"/>
      <c r="H71" s="106"/>
      <c r="I71" s="106"/>
      <c r="J71" s="107"/>
      <c r="K71" s="104"/>
      <c r="L71" s="104"/>
      <c r="M71" s="104"/>
      <c r="N71" s="120"/>
      <c r="O71" s="120"/>
      <c r="P71" s="120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</row>
    <row r="72" spans="1:82">
      <c r="A72" s="19"/>
      <c r="B72" s="127"/>
      <c r="C72" s="127"/>
      <c r="D72" s="120"/>
      <c r="E72" s="104"/>
      <c r="F72" s="104"/>
      <c r="G72" s="105"/>
      <c r="H72" s="106"/>
      <c r="I72" s="106"/>
      <c r="J72" s="107"/>
      <c r="K72" s="104"/>
      <c r="L72" s="104"/>
      <c r="M72" s="104"/>
      <c r="N72" s="120"/>
      <c r="O72" s="120"/>
      <c r="P72" s="120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</row>
    <row r="73" spans="1:82">
      <c r="A73" s="19"/>
      <c r="B73" s="127"/>
      <c r="C73" s="127"/>
      <c r="D73" s="120"/>
      <c r="E73" s="104"/>
      <c r="F73" s="104"/>
      <c r="G73" s="105"/>
      <c r="H73" s="106"/>
      <c r="I73" s="106"/>
      <c r="J73" s="107"/>
      <c r="K73" s="104"/>
      <c r="L73" s="104"/>
      <c r="M73" s="104"/>
      <c r="N73" s="120"/>
      <c r="O73" s="120"/>
      <c r="P73" s="120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</row>
    <row r="74" spans="1:82">
      <c r="A74" s="19"/>
      <c r="B74" s="127"/>
      <c r="C74" s="127"/>
      <c r="D74" s="120"/>
      <c r="E74" s="104"/>
      <c r="F74" s="104"/>
      <c r="G74" s="105"/>
      <c r="H74" s="106"/>
      <c r="I74" s="106"/>
      <c r="J74" s="107"/>
      <c r="K74" s="104"/>
      <c r="L74" s="104"/>
      <c r="M74" s="104"/>
      <c r="N74" s="120"/>
      <c r="O74" s="120"/>
      <c r="P74" s="120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</row>
    <row r="75" spans="1:82">
      <c r="A75" s="19"/>
      <c r="B75" s="127"/>
      <c r="C75" s="127"/>
      <c r="D75" s="120"/>
      <c r="E75" s="104"/>
      <c r="F75" s="104"/>
      <c r="G75" s="105"/>
      <c r="H75" s="106"/>
      <c r="I75" s="106"/>
      <c r="J75" s="107"/>
      <c r="K75" s="104"/>
      <c r="L75" s="104"/>
      <c r="M75" s="104"/>
      <c r="N75" s="120"/>
      <c r="O75" s="120"/>
      <c r="P75" s="120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</row>
    <row r="76" spans="1:82">
      <c r="A76" s="19"/>
      <c r="B76" s="127"/>
      <c r="C76" s="127"/>
      <c r="D76" s="120"/>
      <c r="E76" s="104"/>
      <c r="F76" s="104"/>
      <c r="G76" s="105"/>
      <c r="H76" s="106"/>
      <c r="I76" s="106"/>
      <c r="J76" s="107"/>
      <c r="K76" s="104"/>
      <c r="L76" s="104"/>
      <c r="M76" s="104"/>
      <c r="N76" s="120"/>
      <c r="O76" s="120"/>
      <c r="P76" s="120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</row>
    <row r="77" spans="1:82">
      <c r="A77" s="19"/>
      <c r="B77" s="127"/>
      <c r="C77" s="127"/>
      <c r="D77" s="120"/>
      <c r="E77" s="104"/>
      <c r="F77" s="104"/>
      <c r="G77" s="105"/>
      <c r="H77" s="106"/>
      <c r="I77" s="106"/>
      <c r="J77" s="107"/>
      <c r="K77" s="104"/>
      <c r="L77" s="104"/>
      <c r="M77" s="104"/>
      <c r="N77" s="120"/>
      <c r="O77" s="120"/>
      <c r="P77" s="120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</row>
    <row r="78" spans="1:82">
      <c r="A78" s="19"/>
      <c r="B78" s="127"/>
      <c r="C78" s="127"/>
      <c r="D78" s="120"/>
      <c r="E78" s="104"/>
      <c r="F78" s="104"/>
      <c r="G78" s="105"/>
      <c r="H78" s="106"/>
      <c r="I78" s="106"/>
      <c r="J78" s="107"/>
      <c r="K78" s="104"/>
      <c r="L78" s="104"/>
      <c r="M78" s="104"/>
      <c r="N78" s="120"/>
      <c r="O78" s="120"/>
      <c r="P78" s="120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</row>
    <row r="79" spans="1:82">
      <c r="A79" s="19"/>
      <c r="B79" s="127"/>
      <c r="C79" s="127"/>
      <c r="D79" s="120"/>
      <c r="E79" s="104"/>
      <c r="F79" s="104"/>
      <c r="G79" s="105"/>
      <c r="H79" s="106"/>
      <c r="I79" s="106"/>
      <c r="J79" s="107"/>
      <c r="K79" s="104"/>
      <c r="L79" s="104"/>
      <c r="M79" s="104"/>
      <c r="N79" s="120"/>
      <c r="O79" s="120"/>
      <c r="P79" s="120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</row>
    <row r="80" spans="1:82">
      <c r="A80" s="19"/>
      <c r="B80" s="127"/>
      <c r="C80" s="127"/>
      <c r="D80" s="120"/>
      <c r="E80" s="104"/>
      <c r="F80" s="104"/>
      <c r="G80" s="105"/>
      <c r="H80" s="106"/>
      <c r="I80" s="106"/>
      <c r="J80" s="107"/>
      <c r="K80" s="104"/>
      <c r="L80" s="104"/>
      <c r="M80" s="104"/>
      <c r="N80" s="120"/>
      <c r="O80" s="120"/>
      <c r="P80" s="120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</row>
    <row r="81" spans="1:82">
      <c r="A81" s="19"/>
      <c r="B81" s="127"/>
      <c r="C81" s="127"/>
      <c r="D81" s="120"/>
      <c r="E81" s="104"/>
      <c r="F81" s="104"/>
      <c r="G81" s="105"/>
      <c r="H81" s="106"/>
      <c r="I81" s="106"/>
      <c r="J81" s="107"/>
      <c r="K81" s="104"/>
      <c r="L81" s="104"/>
      <c r="M81" s="104"/>
      <c r="N81" s="120"/>
      <c r="O81" s="120"/>
      <c r="P81" s="120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</row>
    <row r="82" spans="1:82">
      <c r="A82" s="19"/>
      <c r="B82" s="127"/>
      <c r="C82" s="127"/>
      <c r="D82" s="120"/>
      <c r="E82" s="104"/>
      <c r="F82" s="104"/>
      <c r="G82" s="105"/>
      <c r="H82" s="106"/>
      <c r="I82" s="106"/>
      <c r="J82" s="107"/>
      <c r="K82" s="104"/>
      <c r="L82" s="104"/>
      <c r="M82" s="104"/>
      <c r="N82" s="120"/>
      <c r="O82" s="120"/>
      <c r="P82" s="120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</row>
    <row r="83" spans="1:82">
      <c r="A83" s="19"/>
      <c r="B83" s="127"/>
      <c r="C83" s="127"/>
      <c r="D83" s="120"/>
      <c r="E83" s="104"/>
      <c r="F83" s="104"/>
      <c r="G83" s="105"/>
      <c r="H83" s="106"/>
      <c r="I83" s="106"/>
      <c r="J83" s="107"/>
      <c r="K83" s="104"/>
      <c r="L83" s="104"/>
      <c r="M83" s="104"/>
      <c r="N83" s="120"/>
      <c r="O83" s="120"/>
      <c r="P83" s="120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</row>
    <row r="84" spans="1:82">
      <c r="A84" s="19"/>
      <c r="B84" s="127"/>
      <c r="C84" s="127"/>
      <c r="D84" s="120"/>
      <c r="E84" s="104"/>
      <c r="F84" s="104"/>
      <c r="G84" s="105"/>
      <c r="H84" s="106"/>
      <c r="I84" s="106"/>
      <c r="J84" s="107"/>
      <c r="K84" s="104"/>
      <c r="L84" s="104"/>
      <c r="M84" s="104"/>
      <c r="N84" s="120"/>
      <c r="O84" s="120"/>
      <c r="P84" s="120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</row>
    <row r="85" spans="1:82">
      <c r="A85" s="19"/>
      <c r="B85" s="127"/>
      <c r="C85" s="127"/>
      <c r="D85" s="120"/>
      <c r="E85" s="104"/>
      <c r="F85" s="104"/>
      <c r="G85" s="105"/>
      <c r="H85" s="106"/>
      <c r="I85" s="106"/>
      <c r="J85" s="107"/>
      <c r="K85" s="104"/>
      <c r="L85" s="104"/>
      <c r="M85" s="104"/>
      <c r="N85" s="120"/>
      <c r="O85" s="120"/>
      <c r="P85" s="120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</row>
    <row r="86" spans="1:82">
      <c r="A86" s="19"/>
      <c r="B86" s="127"/>
      <c r="C86" s="127"/>
      <c r="D86" s="120"/>
      <c r="E86" s="104"/>
      <c r="F86" s="104"/>
      <c r="G86" s="105"/>
      <c r="H86" s="106"/>
      <c r="I86" s="106"/>
      <c r="J86" s="107"/>
      <c r="K86" s="104"/>
      <c r="L86" s="104"/>
      <c r="M86" s="104"/>
      <c r="N86" s="120"/>
      <c r="O86" s="120"/>
      <c r="P86" s="120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</row>
    <row r="87" spans="1:82">
      <c r="A87" s="19"/>
      <c r="B87" s="127"/>
      <c r="C87" s="127"/>
      <c r="D87" s="120"/>
      <c r="E87" s="104"/>
      <c r="F87" s="104"/>
      <c r="G87" s="105"/>
      <c r="H87" s="106"/>
      <c r="I87" s="106"/>
      <c r="J87" s="107"/>
      <c r="K87" s="104"/>
      <c r="L87" s="104"/>
      <c r="M87" s="104"/>
      <c r="N87" s="120"/>
      <c r="O87" s="120"/>
      <c r="P87" s="120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</row>
    <row r="88" spans="1:82">
      <c r="A88" s="19"/>
      <c r="B88" s="127"/>
      <c r="C88" s="127"/>
      <c r="D88" s="120"/>
      <c r="E88" s="104"/>
      <c r="F88" s="104"/>
      <c r="G88" s="105"/>
      <c r="H88" s="106"/>
      <c r="I88" s="106"/>
      <c r="J88" s="107"/>
      <c r="K88" s="104"/>
      <c r="L88" s="104"/>
      <c r="M88" s="104"/>
      <c r="N88" s="120"/>
      <c r="O88" s="120"/>
      <c r="P88" s="120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</row>
    <row r="89" spans="1:82">
      <c r="A89" s="19"/>
      <c r="B89" s="127"/>
      <c r="C89" s="127"/>
      <c r="D89" s="120"/>
      <c r="E89" s="104"/>
      <c r="F89" s="104"/>
      <c r="G89" s="105"/>
      <c r="H89" s="106"/>
      <c r="I89" s="106"/>
      <c r="J89" s="107"/>
      <c r="K89" s="104"/>
      <c r="L89" s="104"/>
      <c r="M89" s="104"/>
      <c r="N89" s="120"/>
      <c r="O89" s="120"/>
      <c r="P89" s="120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</row>
    <row r="90" spans="1:82">
      <c r="A90" s="19"/>
      <c r="B90" s="127"/>
      <c r="C90" s="127"/>
      <c r="D90" s="120"/>
      <c r="E90" s="104"/>
      <c r="F90" s="104"/>
      <c r="G90" s="105"/>
      <c r="H90" s="106"/>
      <c r="I90" s="106"/>
      <c r="J90" s="107"/>
      <c r="K90" s="104"/>
      <c r="L90" s="104"/>
      <c r="M90" s="104"/>
      <c r="N90" s="120"/>
      <c r="O90" s="120"/>
      <c r="P90" s="120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</row>
    <row r="91" spans="1:82">
      <c r="A91" s="19"/>
      <c r="B91" s="127"/>
      <c r="C91" s="127"/>
      <c r="D91" s="120"/>
      <c r="E91" s="104"/>
      <c r="F91" s="104"/>
      <c r="G91" s="105"/>
      <c r="H91" s="106"/>
      <c r="I91" s="106"/>
      <c r="J91" s="107"/>
      <c r="K91" s="104"/>
      <c r="L91" s="104"/>
      <c r="M91" s="104"/>
      <c r="N91" s="120"/>
      <c r="O91" s="120"/>
      <c r="P91" s="120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</row>
    <row r="92" spans="1:82">
      <c r="A92" s="19"/>
      <c r="B92" s="127"/>
      <c r="C92" s="127"/>
      <c r="D92" s="120"/>
      <c r="E92" s="104"/>
      <c r="F92" s="104"/>
      <c r="G92" s="105"/>
      <c r="H92" s="106"/>
      <c r="I92" s="106"/>
      <c r="J92" s="107"/>
      <c r="K92" s="104"/>
      <c r="L92" s="104"/>
      <c r="M92" s="104"/>
      <c r="N92" s="120"/>
      <c r="O92" s="120"/>
      <c r="P92" s="120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</row>
    <row r="93" spans="1:82">
      <c r="A93" s="19"/>
      <c r="B93" s="127"/>
      <c r="C93" s="127"/>
      <c r="D93" s="120"/>
      <c r="E93" s="104"/>
      <c r="F93" s="104"/>
      <c r="G93" s="105"/>
      <c r="H93" s="106"/>
      <c r="I93" s="106"/>
      <c r="J93" s="107"/>
      <c r="K93" s="104"/>
      <c r="L93" s="104"/>
      <c r="M93" s="104"/>
      <c r="N93" s="120"/>
      <c r="O93" s="120"/>
      <c r="P93" s="120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</row>
    <row r="94" spans="1:82">
      <c r="A94" s="19"/>
      <c r="B94" s="127"/>
      <c r="C94" s="127"/>
      <c r="D94" s="120"/>
      <c r="E94" s="104"/>
      <c r="F94" s="104"/>
      <c r="G94" s="105"/>
      <c r="H94" s="106"/>
      <c r="I94" s="106"/>
      <c r="J94" s="107"/>
      <c r="K94" s="104"/>
      <c r="L94" s="104"/>
      <c r="M94" s="104"/>
      <c r="N94" s="120"/>
      <c r="O94" s="120"/>
      <c r="P94" s="120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</row>
    <row r="95" spans="1:82">
      <c r="A95" s="19"/>
      <c r="B95" s="127"/>
      <c r="C95" s="127"/>
      <c r="D95" s="120"/>
      <c r="E95" s="104"/>
      <c r="F95" s="104"/>
      <c r="G95" s="105"/>
      <c r="H95" s="106"/>
      <c r="I95" s="106"/>
      <c r="J95" s="107"/>
      <c r="K95" s="104"/>
      <c r="L95" s="104"/>
      <c r="M95" s="104"/>
      <c r="N95" s="120"/>
      <c r="O95" s="120"/>
      <c r="P95" s="120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</row>
    <row r="96" spans="1:82">
      <c r="A96" s="19"/>
      <c r="B96" s="127"/>
      <c r="C96" s="127"/>
      <c r="D96" s="120"/>
      <c r="E96" s="104"/>
      <c r="F96" s="104"/>
      <c r="G96" s="105"/>
      <c r="H96" s="106"/>
      <c r="I96" s="106"/>
      <c r="J96" s="107"/>
      <c r="K96" s="104"/>
      <c r="L96" s="104"/>
      <c r="M96" s="104"/>
      <c r="N96" s="120"/>
      <c r="O96" s="120"/>
      <c r="P96" s="120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</row>
    <row r="97" spans="1:82">
      <c r="A97" s="19"/>
      <c r="B97" s="127"/>
      <c r="C97" s="127"/>
      <c r="D97" s="120"/>
      <c r="E97" s="104"/>
      <c r="F97" s="104"/>
      <c r="G97" s="105"/>
      <c r="H97" s="106"/>
      <c r="I97" s="106"/>
      <c r="J97" s="107"/>
      <c r="K97" s="104"/>
      <c r="L97" s="104"/>
      <c r="M97" s="104"/>
      <c r="N97" s="120"/>
      <c r="O97" s="120"/>
      <c r="P97" s="120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</row>
    <row r="98" spans="1:82">
      <c r="A98" s="19"/>
      <c r="B98" s="127"/>
      <c r="C98" s="127"/>
      <c r="D98" s="120"/>
      <c r="E98" s="104"/>
      <c r="F98" s="104"/>
      <c r="G98" s="105"/>
      <c r="H98" s="106"/>
      <c r="I98" s="106"/>
      <c r="J98" s="107"/>
      <c r="K98" s="104"/>
      <c r="L98" s="104"/>
      <c r="M98" s="104"/>
      <c r="N98" s="120"/>
      <c r="O98" s="120"/>
      <c r="P98" s="120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</row>
    <row r="99" spans="1:82">
      <c r="A99" s="19"/>
      <c r="B99" s="127"/>
      <c r="C99" s="127"/>
      <c r="D99" s="120"/>
      <c r="E99" s="104"/>
      <c r="F99" s="104"/>
      <c r="G99" s="105"/>
      <c r="H99" s="106"/>
      <c r="I99" s="106"/>
      <c r="J99" s="107"/>
      <c r="K99" s="104"/>
      <c r="L99" s="104"/>
      <c r="M99" s="104"/>
      <c r="N99" s="120"/>
      <c r="O99" s="120"/>
      <c r="P99" s="120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</row>
    <row r="100" spans="1:82">
      <c r="A100" s="19"/>
      <c r="B100" s="127"/>
      <c r="C100" s="127"/>
      <c r="D100" s="120"/>
      <c r="E100" s="104"/>
      <c r="F100" s="104"/>
      <c r="G100" s="105"/>
      <c r="H100" s="106"/>
      <c r="I100" s="106"/>
      <c r="J100" s="107"/>
      <c r="K100" s="104"/>
      <c r="L100" s="104"/>
      <c r="M100" s="104"/>
      <c r="N100" s="120"/>
      <c r="O100" s="120"/>
      <c r="P100" s="120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</row>
    <row r="101" spans="1:82">
      <c r="A101" s="19"/>
      <c r="B101" s="127"/>
      <c r="C101" s="127"/>
      <c r="D101" s="120"/>
      <c r="E101" s="104"/>
      <c r="F101" s="104"/>
      <c r="G101" s="105"/>
      <c r="H101" s="106"/>
      <c r="I101" s="106"/>
      <c r="J101" s="107"/>
      <c r="K101" s="104"/>
      <c r="L101" s="104"/>
      <c r="M101" s="104"/>
      <c r="N101" s="120"/>
      <c r="O101" s="120"/>
      <c r="P101" s="120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</row>
    <row r="102" spans="1:82">
      <c r="A102" s="19"/>
      <c r="B102" s="127"/>
      <c r="C102" s="127"/>
      <c r="D102" s="120"/>
      <c r="E102" s="104"/>
      <c r="F102" s="104"/>
      <c r="G102" s="105"/>
      <c r="H102" s="106"/>
      <c r="I102" s="106"/>
      <c r="J102" s="107"/>
      <c r="K102" s="104"/>
      <c r="L102" s="104"/>
      <c r="M102" s="104"/>
      <c r="N102" s="120"/>
      <c r="O102" s="120"/>
      <c r="P102" s="120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</row>
    <row r="103" spans="1:82">
      <c r="A103" s="19"/>
      <c r="B103" s="127"/>
      <c r="C103" s="127"/>
      <c r="D103" s="120"/>
      <c r="E103" s="104"/>
      <c r="F103" s="104"/>
      <c r="G103" s="105"/>
      <c r="H103" s="106"/>
      <c r="I103" s="106"/>
      <c r="J103" s="107"/>
      <c r="K103" s="104"/>
      <c r="L103" s="104"/>
      <c r="M103" s="104"/>
      <c r="N103" s="120"/>
      <c r="O103" s="120"/>
      <c r="P103" s="120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</row>
    <row r="104" spans="1:82">
      <c r="A104" s="19"/>
      <c r="B104" s="127"/>
      <c r="C104" s="127"/>
      <c r="D104" s="120"/>
      <c r="E104" s="104"/>
      <c r="F104" s="104"/>
      <c r="G104" s="105"/>
      <c r="H104" s="106"/>
      <c r="I104" s="106"/>
      <c r="J104" s="107"/>
      <c r="K104" s="104"/>
      <c r="L104" s="104"/>
      <c r="M104" s="104"/>
      <c r="N104" s="120"/>
      <c r="O104" s="120"/>
      <c r="P104" s="120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</row>
    <row r="105" spans="1:82">
      <c r="A105" s="19"/>
      <c r="B105" s="127"/>
      <c r="C105" s="127"/>
      <c r="D105" s="120"/>
      <c r="E105" s="104"/>
      <c r="F105" s="104"/>
      <c r="G105" s="105"/>
      <c r="H105" s="106"/>
      <c r="I105" s="106"/>
      <c r="J105" s="107"/>
      <c r="K105" s="104"/>
      <c r="L105" s="104"/>
      <c r="M105" s="104"/>
      <c r="N105" s="120"/>
      <c r="O105" s="120"/>
      <c r="P105" s="120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</row>
    <row r="106" spans="1:82">
      <c r="A106" s="19"/>
      <c r="B106" s="127"/>
      <c r="C106" s="127"/>
      <c r="D106" s="120"/>
      <c r="E106" s="104"/>
      <c r="F106" s="104"/>
      <c r="G106" s="105"/>
      <c r="H106" s="106"/>
      <c r="I106" s="106"/>
      <c r="J106" s="107"/>
      <c r="K106" s="104"/>
      <c r="L106" s="104"/>
      <c r="M106" s="104"/>
      <c r="N106" s="120"/>
      <c r="O106" s="120"/>
      <c r="P106" s="120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</row>
    <row r="107" spans="1:82">
      <c r="A107" s="19"/>
      <c r="B107" s="127"/>
      <c r="C107" s="127"/>
      <c r="D107" s="120"/>
      <c r="E107" s="104"/>
      <c r="F107" s="104"/>
      <c r="G107" s="105"/>
      <c r="H107" s="106"/>
      <c r="I107" s="106"/>
      <c r="J107" s="107"/>
      <c r="K107" s="104"/>
      <c r="L107" s="104"/>
      <c r="M107" s="104"/>
      <c r="N107" s="120"/>
      <c r="O107" s="120"/>
      <c r="P107" s="120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</row>
    <row r="108" spans="1:82">
      <c r="A108" s="19"/>
      <c r="B108" s="127"/>
      <c r="C108" s="127"/>
      <c r="D108" s="120"/>
      <c r="E108" s="104"/>
      <c r="F108" s="104"/>
      <c r="G108" s="105"/>
      <c r="H108" s="106"/>
      <c r="I108" s="106"/>
      <c r="J108" s="107"/>
      <c r="K108" s="104"/>
      <c r="L108" s="104"/>
      <c r="M108" s="104"/>
      <c r="N108" s="120"/>
      <c r="O108" s="120"/>
      <c r="P108" s="120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</row>
    <row r="109" spans="1:82">
      <c r="A109" s="19"/>
      <c r="B109" s="127"/>
      <c r="C109" s="127"/>
      <c r="D109" s="120"/>
      <c r="E109" s="104"/>
      <c r="F109" s="104"/>
      <c r="G109" s="105"/>
      <c r="H109" s="106"/>
      <c r="I109" s="106"/>
      <c r="J109" s="107"/>
      <c r="K109" s="104"/>
      <c r="L109" s="104"/>
      <c r="M109" s="104"/>
      <c r="N109" s="120"/>
      <c r="O109" s="120"/>
      <c r="P109" s="120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</row>
    <row r="110" spans="1:82">
      <c r="A110" s="19"/>
      <c r="B110" s="127"/>
      <c r="C110" s="127"/>
      <c r="D110" s="120"/>
      <c r="E110" s="104"/>
      <c r="F110" s="104"/>
      <c r="G110" s="105"/>
      <c r="H110" s="106"/>
      <c r="I110" s="106"/>
      <c r="J110" s="107"/>
      <c r="K110" s="104"/>
      <c r="L110" s="104"/>
      <c r="M110" s="104"/>
      <c r="N110" s="120"/>
      <c r="O110" s="120"/>
      <c r="P110" s="120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</row>
    <row r="111" spans="1:82">
      <c r="A111" s="19"/>
      <c r="B111" s="127"/>
      <c r="C111" s="127"/>
      <c r="D111" s="120"/>
      <c r="E111" s="104"/>
      <c r="F111" s="104"/>
      <c r="G111" s="105"/>
      <c r="H111" s="106"/>
      <c r="I111" s="106"/>
      <c r="J111" s="107"/>
      <c r="K111" s="104"/>
      <c r="L111" s="104"/>
      <c r="M111" s="104"/>
      <c r="N111" s="120"/>
      <c r="O111" s="120"/>
      <c r="P111" s="120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</row>
    <row r="112" spans="1:82">
      <c r="A112" s="19"/>
      <c r="B112" s="127"/>
      <c r="C112" s="127"/>
      <c r="D112" s="120"/>
      <c r="E112" s="104"/>
      <c r="F112" s="104"/>
      <c r="G112" s="105"/>
      <c r="H112" s="106"/>
      <c r="I112" s="106"/>
      <c r="J112" s="107"/>
      <c r="K112" s="104"/>
      <c r="L112" s="104"/>
      <c r="M112" s="104"/>
      <c r="N112" s="120"/>
      <c r="O112" s="120"/>
      <c r="P112" s="120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</row>
    <row r="113" spans="1:82">
      <c r="A113" s="19"/>
      <c r="B113" s="127"/>
      <c r="C113" s="127"/>
      <c r="D113" s="120"/>
      <c r="E113" s="104"/>
      <c r="F113" s="104"/>
      <c r="G113" s="105"/>
      <c r="H113" s="106"/>
      <c r="I113" s="106"/>
      <c r="J113" s="107"/>
      <c r="K113" s="104"/>
      <c r="L113" s="104"/>
      <c r="M113" s="104"/>
      <c r="N113" s="120"/>
      <c r="O113" s="120"/>
      <c r="P113" s="120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</row>
    <row r="114" spans="1:82">
      <c r="A114" s="19"/>
      <c r="B114" s="127"/>
      <c r="C114" s="127"/>
      <c r="D114" s="120"/>
      <c r="E114" s="104"/>
      <c r="F114" s="104"/>
      <c r="G114" s="105"/>
      <c r="H114" s="106"/>
      <c r="I114" s="106"/>
      <c r="J114" s="107"/>
      <c r="K114" s="104"/>
      <c r="L114" s="104"/>
      <c r="M114" s="104"/>
      <c r="N114" s="120"/>
      <c r="O114" s="120"/>
      <c r="P114" s="120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</row>
    <row r="115" spans="1:82">
      <c r="A115" s="19"/>
      <c r="B115" s="127"/>
      <c r="C115" s="127"/>
      <c r="D115" s="120"/>
      <c r="E115" s="104"/>
      <c r="F115" s="104"/>
      <c r="G115" s="105"/>
      <c r="H115" s="106"/>
      <c r="I115" s="106"/>
      <c r="J115" s="107"/>
      <c r="K115" s="104"/>
      <c r="L115" s="104"/>
      <c r="M115" s="104"/>
      <c r="N115" s="120"/>
      <c r="O115" s="120"/>
      <c r="P115" s="120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</row>
    <row r="116" spans="1:82">
      <c r="A116" s="19"/>
      <c r="B116" s="127"/>
      <c r="C116" s="127"/>
      <c r="D116" s="120"/>
      <c r="E116" s="104"/>
      <c r="F116" s="104"/>
      <c r="G116" s="105"/>
      <c r="H116" s="106"/>
      <c r="I116" s="106"/>
      <c r="J116" s="107"/>
      <c r="K116" s="104"/>
      <c r="L116" s="104"/>
      <c r="M116" s="104"/>
      <c r="N116" s="120"/>
      <c r="O116" s="120"/>
      <c r="P116" s="120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</row>
    <row r="117" spans="1:82">
      <c r="A117" s="19"/>
      <c r="B117" s="127"/>
      <c r="C117" s="127"/>
      <c r="D117" s="120"/>
      <c r="E117" s="104"/>
      <c r="F117" s="104"/>
      <c r="G117" s="105"/>
      <c r="H117" s="106"/>
      <c r="I117" s="106"/>
      <c r="J117" s="107"/>
      <c r="K117" s="104"/>
      <c r="L117" s="104"/>
      <c r="M117" s="104"/>
      <c r="N117" s="120"/>
      <c r="O117" s="120"/>
      <c r="P117" s="120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</row>
    <row r="118" spans="1:82">
      <c r="A118" s="19"/>
      <c r="B118" s="127"/>
      <c r="C118" s="127"/>
      <c r="D118" s="120"/>
      <c r="E118" s="104"/>
      <c r="F118" s="104"/>
      <c r="G118" s="105"/>
      <c r="H118" s="106"/>
      <c r="I118" s="106"/>
      <c r="J118" s="107"/>
      <c r="K118" s="104"/>
      <c r="L118" s="104"/>
      <c r="M118" s="104"/>
      <c r="N118" s="120"/>
      <c r="O118" s="120"/>
      <c r="P118" s="120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</row>
    <row r="119" spans="1:82">
      <c r="A119" s="19"/>
      <c r="B119" s="127"/>
      <c r="C119" s="127"/>
      <c r="D119" s="120"/>
      <c r="E119" s="104"/>
      <c r="F119" s="104"/>
      <c r="G119" s="105"/>
      <c r="H119" s="106"/>
      <c r="I119" s="106"/>
      <c r="J119" s="107"/>
      <c r="K119" s="104"/>
      <c r="L119" s="104"/>
      <c r="M119" s="104"/>
      <c r="N119" s="120"/>
      <c r="O119" s="120"/>
      <c r="P119" s="120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</row>
    <row r="120" spans="1:82">
      <c r="A120" s="19"/>
      <c r="B120" s="127"/>
      <c r="C120" s="127"/>
      <c r="D120" s="120"/>
      <c r="E120" s="104"/>
      <c r="F120" s="104"/>
      <c r="G120" s="105"/>
      <c r="H120" s="106"/>
      <c r="I120" s="106"/>
      <c r="J120" s="107"/>
      <c r="K120" s="104"/>
      <c r="L120" s="104"/>
      <c r="M120" s="104"/>
      <c r="N120" s="120"/>
      <c r="O120" s="120"/>
      <c r="P120" s="120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</row>
    <row r="121" spans="1:82">
      <c r="A121" s="19"/>
      <c r="B121" s="127"/>
      <c r="C121" s="127"/>
      <c r="D121" s="120"/>
      <c r="E121" s="104"/>
      <c r="F121" s="104"/>
      <c r="G121" s="105"/>
      <c r="H121" s="106"/>
      <c r="I121" s="106"/>
      <c r="J121" s="107"/>
      <c r="K121" s="104"/>
      <c r="L121" s="104"/>
      <c r="M121" s="104"/>
      <c r="N121" s="120"/>
      <c r="O121" s="120"/>
      <c r="P121" s="120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</row>
    <row r="122" spans="1:82">
      <c r="A122" s="19"/>
      <c r="B122" s="127"/>
      <c r="C122" s="127"/>
      <c r="D122" s="120"/>
      <c r="E122" s="104"/>
      <c r="F122" s="104"/>
      <c r="G122" s="105"/>
      <c r="H122" s="106"/>
      <c r="I122" s="106"/>
      <c r="J122" s="107"/>
      <c r="K122" s="104"/>
      <c r="L122" s="104"/>
      <c r="M122" s="104"/>
      <c r="N122" s="120"/>
      <c r="O122" s="120"/>
      <c r="P122" s="120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</row>
    <row r="123" spans="1:82">
      <c r="A123" s="19"/>
      <c r="B123" s="127"/>
      <c r="C123" s="127"/>
      <c r="D123" s="120"/>
      <c r="E123" s="104"/>
      <c r="F123" s="104"/>
      <c r="G123" s="105"/>
      <c r="H123" s="106"/>
      <c r="I123" s="106"/>
      <c r="J123" s="107"/>
      <c r="K123" s="104"/>
      <c r="L123" s="104"/>
      <c r="M123" s="104"/>
      <c r="N123" s="120"/>
      <c r="O123" s="120"/>
      <c r="P123" s="120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</row>
    <row r="124" spans="1:82">
      <c r="A124" s="19"/>
      <c r="B124" s="127"/>
      <c r="C124" s="127"/>
      <c r="D124" s="120"/>
      <c r="E124" s="104"/>
      <c r="F124" s="104"/>
      <c r="G124" s="105"/>
      <c r="H124" s="106"/>
      <c r="I124" s="106"/>
      <c r="J124" s="107"/>
      <c r="K124" s="104"/>
      <c r="L124" s="104"/>
      <c r="M124" s="104"/>
      <c r="N124" s="120"/>
      <c r="O124" s="120"/>
      <c r="P124" s="120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</row>
    <row r="125" spans="1:82">
      <c r="A125" s="19"/>
      <c r="B125" s="127"/>
      <c r="C125" s="127"/>
      <c r="D125" s="120"/>
      <c r="E125" s="104"/>
      <c r="F125" s="104"/>
      <c r="G125" s="105"/>
      <c r="H125" s="106"/>
      <c r="I125" s="106"/>
      <c r="J125" s="107"/>
      <c r="K125" s="104"/>
      <c r="L125" s="104"/>
      <c r="M125" s="104"/>
      <c r="N125" s="120"/>
      <c r="O125" s="120"/>
      <c r="P125" s="120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</row>
    <row r="126" spans="1:82">
      <c r="A126" s="19"/>
      <c r="B126" s="127"/>
      <c r="C126" s="127"/>
      <c r="D126" s="120"/>
      <c r="E126" s="104"/>
      <c r="F126" s="104"/>
      <c r="G126" s="105"/>
      <c r="H126" s="106"/>
      <c r="I126" s="106"/>
      <c r="J126" s="107"/>
      <c r="K126" s="104"/>
      <c r="L126" s="104"/>
      <c r="M126" s="104"/>
      <c r="N126" s="120"/>
      <c r="O126" s="120"/>
      <c r="P126" s="120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</row>
    <row r="127" spans="1:82">
      <c r="A127" s="19"/>
      <c r="B127" s="127"/>
      <c r="C127" s="127"/>
      <c r="D127" s="120"/>
      <c r="E127" s="104"/>
      <c r="F127" s="104"/>
      <c r="G127" s="105"/>
      <c r="H127" s="106"/>
      <c r="I127" s="106"/>
      <c r="J127" s="107"/>
      <c r="K127" s="104"/>
      <c r="L127" s="104"/>
      <c r="M127" s="104"/>
      <c r="N127" s="120"/>
      <c r="O127" s="120"/>
      <c r="P127" s="120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</row>
    <row r="128" spans="1:82">
      <c r="A128" s="19"/>
      <c r="B128" s="127"/>
      <c r="C128" s="127"/>
      <c r="D128" s="120"/>
      <c r="E128" s="104"/>
      <c r="F128" s="104"/>
      <c r="G128" s="105"/>
      <c r="H128" s="106"/>
      <c r="I128" s="106"/>
      <c r="J128" s="107"/>
      <c r="K128" s="104"/>
      <c r="L128" s="104"/>
      <c r="M128" s="104"/>
      <c r="N128" s="120"/>
      <c r="O128" s="120"/>
      <c r="P128" s="120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</row>
    <row r="129" spans="1:82">
      <c r="A129" s="19"/>
      <c r="B129" s="127"/>
      <c r="C129" s="127"/>
      <c r="D129" s="120"/>
      <c r="E129" s="104"/>
      <c r="F129" s="104"/>
      <c r="G129" s="105"/>
      <c r="H129" s="106"/>
      <c r="I129" s="106"/>
      <c r="J129" s="107"/>
      <c r="K129" s="104"/>
      <c r="L129" s="104"/>
      <c r="M129" s="104"/>
      <c r="N129" s="120"/>
      <c r="O129" s="120"/>
      <c r="P129" s="120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</row>
    <row r="130" spans="1:82">
      <c r="A130" s="19"/>
      <c r="B130" s="127"/>
      <c r="C130" s="127"/>
      <c r="D130" s="120"/>
      <c r="E130" s="104"/>
      <c r="F130" s="104"/>
      <c r="G130" s="105"/>
      <c r="H130" s="106"/>
      <c r="I130" s="106"/>
      <c r="J130" s="107"/>
      <c r="K130" s="104"/>
      <c r="L130" s="104"/>
      <c r="M130" s="104"/>
      <c r="N130" s="120"/>
      <c r="O130" s="120"/>
      <c r="P130" s="120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</row>
    <row r="131" spans="1:82">
      <c r="A131" s="19"/>
      <c r="B131" s="127"/>
      <c r="C131" s="127"/>
      <c r="D131" s="120"/>
      <c r="E131" s="104"/>
      <c r="F131" s="104"/>
      <c r="G131" s="105"/>
      <c r="H131" s="106"/>
      <c r="I131" s="106"/>
      <c r="J131" s="107"/>
      <c r="K131" s="104"/>
      <c r="L131" s="104"/>
      <c r="M131" s="104"/>
      <c r="N131" s="120"/>
      <c r="O131" s="120"/>
      <c r="P131" s="120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</row>
    <row r="132" spans="1:82">
      <c r="A132" s="19"/>
      <c r="B132" s="127"/>
      <c r="C132" s="127"/>
      <c r="D132" s="120"/>
      <c r="E132" s="104"/>
      <c r="F132" s="104"/>
      <c r="G132" s="105"/>
      <c r="H132" s="106"/>
      <c r="I132" s="106"/>
      <c r="J132" s="107"/>
      <c r="K132" s="104"/>
      <c r="L132" s="104"/>
      <c r="M132" s="104"/>
      <c r="N132" s="120"/>
      <c r="O132" s="120"/>
      <c r="P132" s="120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</row>
    <row r="133" spans="1:82">
      <c r="A133" s="19"/>
      <c r="B133" s="127"/>
      <c r="C133" s="127"/>
      <c r="D133" s="120"/>
      <c r="E133" s="104"/>
      <c r="F133" s="104"/>
      <c r="G133" s="105"/>
      <c r="H133" s="106"/>
      <c r="I133" s="106"/>
      <c r="J133" s="107"/>
      <c r="K133" s="104"/>
      <c r="L133" s="104"/>
      <c r="M133" s="104"/>
      <c r="N133" s="120"/>
      <c r="O133" s="120"/>
      <c r="P133" s="120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</row>
    <row r="134" spans="1:82">
      <c r="A134" s="19"/>
      <c r="B134" s="127"/>
      <c r="C134" s="127"/>
      <c r="D134" s="120"/>
      <c r="E134" s="104"/>
      <c r="F134" s="104"/>
      <c r="G134" s="105"/>
      <c r="H134" s="106"/>
      <c r="I134" s="106"/>
      <c r="J134" s="107"/>
      <c r="K134" s="104"/>
      <c r="L134" s="104"/>
      <c r="M134" s="104"/>
      <c r="N134" s="120"/>
      <c r="O134" s="120"/>
      <c r="P134" s="120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</row>
    <row r="135" spans="1:82">
      <c r="A135" s="19"/>
      <c r="B135" s="127"/>
      <c r="C135" s="127"/>
      <c r="D135" s="120"/>
      <c r="E135" s="104"/>
      <c r="F135" s="104"/>
      <c r="G135" s="105"/>
      <c r="H135" s="106"/>
      <c r="I135" s="106"/>
      <c r="J135" s="107"/>
      <c r="K135" s="104"/>
      <c r="L135" s="104"/>
      <c r="M135" s="104"/>
      <c r="N135" s="120"/>
      <c r="O135" s="120"/>
      <c r="P135" s="120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</row>
    <row r="136" spans="1:82">
      <c r="A136" s="19"/>
      <c r="B136" s="127"/>
      <c r="C136" s="127"/>
      <c r="D136" s="120"/>
      <c r="E136" s="104"/>
      <c r="F136" s="104"/>
      <c r="G136" s="105"/>
      <c r="H136" s="106"/>
      <c r="I136" s="106"/>
      <c r="J136" s="107"/>
      <c r="K136" s="104"/>
      <c r="L136" s="104"/>
      <c r="M136" s="104"/>
      <c r="N136" s="120"/>
      <c r="O136" s="120"/>
      <c r="P136" s="120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</row>
    <row r="137" spans="1:82">
      <c r="A137" s="19"/>
      <c r="B137" s="127"/>
      <c r="C137" s="127"/>
      <c r="D137" s="120"/>
      <c r="E137" s="104"/>
      <c r="F137" s="104"/>
      <c r="G137" s="105"/>
      <c r="H137" s="106"/>
      <c r="I137" s="106"/>
      <c r="J137" s="107"/>
      <c r="K137" s="104"/>
      <c r="L137" s="104"/>
      <c r="M137" s="104"/>
      <c r="N137" s="120"/>
      <c r="O137" s="120"/>
      <c r="P137" s="120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</row>
    <row r="138" spans="1:82">
      <c r="A138" s="19"/>
      <c r="B138" s="127"/>
      <c r="C138" s="127"/>
      <c r="D138" s="120"/>
      <c r="E138" s="104"/>
      <c r="F138" s="104"/>
      <c r="G138" s="105"/>
      <c r="H138" s="106"/>
      <c r="I138" s="106"/>
      <c r="J138" s="107"/>
      <c r="K138" s="104"/>
      <c r="L138" s="104"/>
      <c r="M138" s="104"/>
      <c r="N138" s="120"/>
      <c r="O138" s="120"/>
      <c r="P138" s="120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</row>
    <row r="139" spans="1:82">
      <c r="A139" s="19"/>
      <c r="B139" s="127"/>
      <c r="C139" s="127"/>
      <c r="D139" s="120"/>
      <c r="E139" s="104"/>
      <c r="F139" s="104"/>
      <c r="G139" s="105"/>
      <c r="H139" s="106"/>
      <c r="I139" s="106"/>
      <c r="J139" s="107"/>
      <c r="K139" s="104"/>
      <c r="L139" s="104"/>
      <c r="M139" s="104"/>
      <c r="N139" s="120"/>
      <c r="O139" s="120"/>
      <c r="P139" s="120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</row>
    <row r="140" spans="1:82">
      <c r="A140" s="19"/>
      <c r="B140" s="127"/>
      <c r="C140" s="127"/>
      <c r="D140" s="120"/>
      <c r="E140" s="104"/>
      <c r="F140" s="104"/>
      <c r="G140" s="105"/>
      <c r="H140" s="106"/>
      <c r="I140" s="106"/>
      <c r="J140" s="107"/>
      <c r="K140" s="104"/>
      <c r="L140" s="104"/>
      <c r="M140" s="104"/>
      <c r="N140" s="120"/>
      <c r="O140" s="120"/>
      <c r="P140" s="120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</row>
    <row r="141" spans="1:82">
      <c r="A141" s="19"/>
      <c r="B141" s="127"/>
      <c r="C141" s="127"/>
      <c r="D141" s="120"/>
      <c r="E141" s="104"/>
      <c r="F141" s="104"/>
      <c r="G141" s="105"/>
      <c r="H141" s="106"/>
      <c r="I141" s="106"/>
      <c r="J141" s="107"/>
      <c r="K141" s="104"/>
      <c r="L141" s="104"/>
      <c r="M141" s="104"/>
      <c r="N141" s="120"/>
      <c r="O141" s="120"/>
      <c r="P141" s="120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</row>
    <row r="142" spans="1:82">
      <c r="A142" s="19"/>
      <c r="B142" s="127"/>
      <c r="C142" s="127"/>
      <c r="D142" s="120"/>
      <c r="E142" s="104"/>
      <c r="F142" s="104"/>
      <c r="G142" s="105"/>
      <c r="H142" s="106"/>
      <c r="I142" s="106"/>
      <c r="J142" s="107"/>
      <c r="K142" s="104"/>
      <c r="L142" s="104"/>
      <c r="M142" s="104"/>
      <c r="N142" s="120"/>
      <c r="O142" s="120"/>
      <c r="P142" s="120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</row>
    <row r="143" spans="1:82">
      <c r="A143" s="19"/>
      <c r="B143" s="127"/>
      <c r="C143" s="127"/>
      <c r="D143" s="120"/>
      <c r="E143" s="104"/>
      <c r="F143" s="104"/>
      <c r="G143" s="105"/>
      <c r="H143" s="106"/>
      <c r="I143" s="106"/>
      <c r="J143" s="107"/>
      <c r="K143" s="104"/>
      <c r="L143" s="104"/>
      <c r="M143" s="104"/>
      <c r="N143" s="120"/>
      <c r="O143" s="120"/>
      <c r="P143" s="120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</row>
    <row r="144" spans="1:82">
      <c r="A144" s="19"/>
      <c r="B144" s="127"/>
      <c r="C144" s="127"/>
      <c r="D144" s="120"/>
      <c r="E144" s="104"/>
      <c r="F144" s="104"/>
      <c r="G144" s="105"/>
      <c r="H144" s="106"/>
      <c r="I144" s="106"/>
      <c r="J144" s="107"/>
      <c r="K144" s="104"/>
      <c r="L144" s="104"/>
      <c r="M144" s="104"/>
      <c r="N144" s="120"/>
      <c r="O144" s="120"/>
      <c r="P144" s="120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</row>
    <row r="145" spans="1:82">
      <c r="A145" s="19"/>
      <c r="B145" s="127"/>
      <c r="C145" s="127"/>
      <c r="D145" s="120"/>
      <c r="E145" s="104"/>
      <c r="F145" s="104"/>
      <c r="G145" s="105"/>
      <c r="H145" s="106"/>
      <c r="I145" s="106"/>
      <c r="J145" s="107"/>
      <c r="K145" s="104"/>
      <c r="L145" s="104"/>
      <c r="M145" s="104"/>
      <c r="N145" s="120"/>
      <c r="O145" s="120"/>
      <c r="P145" s="120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</row>
    <row r="146" spans="1:82">
      <c r="A146" s="19"/>
      <c r="B146" s="127"/>
      <c r="C146" s="127"/>
      <c r="D146" s="120"/>
      <c r="E146" s="104"/>
      <c r="F146" s="104"/>
      <c r="G146" s="105"/>
      <c r="H146" s="106"/>
      <c r="I146" s="106"/>
      <c r="J146" s="107"/>
      <c r="K146" s="104"/>
      <c r="L146" s="104"/>
      <c r="M146" s="104"/>
      <c r="N146" s="120"/>
      <c r="O146" s="120"/>
      <c r="P146" s="120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</row>
    <row r="147" spans="1:82">
      <c r="A147" s="19"/>
      <c r="B147" s="127"/>
      <c r="C147" s="127"/>
      <c r="D147" s="120"/>
      <c r="E147" s="104"/>
      <c r="F147" s="104"/>
      <c r="G147" s="105"/>
      <c r="H147" s="106"/>
      <c r="I147" s="106"/>
      <c r="J147" s="107"/>
      <c r="K147" s="104"/>
      <c r="L147" s="104"/>
      <c r="M147" s="104"/>
      <c r="N147" s="120"/>
      <c r="O147" s="120"/>
      <c r="P147" s="120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</row>
    <row r="148" spans="1:82">
      <c r="A148" s="19"/>
      <c r="B148" s="127"/>
      <c r="C148" s="127"/>
      <c r="D148" s="120"/>
      <c r="E148" s="104"/>
      <c r="F148" s="104"/>
      <c r="G148" s="105"/>
      <c r="H148" s="106"/>
      <c r="I148" s="106"/>
      <c r="J148" s="107"/>
      <c r="K148" s="104"/>
      <c r="L148" s="104"/>
      <c r="M148" s="104"/>
      <c r="N148" s="120"/>
      <c r="O148" s="120"/>
      <c r="P148" s="120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</row>
    <row r="149" spans="1:82">
      <c r="A149" s="19"/>
      <c r="B149" s="127"/>
      <c r="C149" s="127"/>
      <c r="D149" s="120"/>
      <c r="E149" s="104"/>
      <c r="F149" s="104"/>
      <c r="G149" s="105"/>
      <c r="H149" s="106"/>
      <c r="I149" s="106"/>
      <c r="J149" s="107"/>
      <c r="K149" s="104"/>
      <c r="L149" s="104"/>
      <c r="M149" s="104"/>
      <c r="N149" s="120"/>
      <c r="O149" s="120"/>
      <c r="P149" s="120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</row>
    <row r="150" spans="1:82">
      <c r="A150" s="19"/>
      <c r="B150" s="127"/>
      <c r="C150" s="127"/>
      <c r="D150" s="120"/>
      <c r="E150" s="104"/>
      <c r="F150" s="104"/>
      <c r="G150" s="105"/>
      <c r="H150" s="106"/>
      <c r="I150" s="106"/>
      <c r="J150" s="107"/>
      <c r="K150" s="104"/>
      <c r="L150" s="104"/>
      <c r="M150" s="104"/>
      <c r="N150" s="120"/>
      <c r="O150" s="120"/>
      <c r="P150" s="120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</row>
    <row r="151" spans="1:82">
      <c r="A151" s="19"/>
      <c r="B151" s="127"/>
      <c r="C151" s="127"/>
      <c r="D151" s="120"/>
      <c r="E151" s="104"/>
      <c r="F151" s="104"/>
      <c r="G151" s="105"/>
      <c r="H151" s="106"/>
      <c r="I151" s="106"/>
      <c r="J151" s="107"/>
      <c r="K151" s="104"/>
      <c r="L151" s="104"/>
      <c r="M151" s="104"/>
      <c r="N151" s="120"/>
      <c r="O151" s="120"/>
      <c r="P151" s="120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</row>
    <row r="152" spans="1:82">
      <c r="A152" s="19"/>
      <c r="B152" s="127"/>
      <c r="C152" s="127"/>
      <c r="D152" s="120"/>
      <c r="E152" s="104"/>
      <c r="F152" s="104"/>
      <c r="G152" s="105"/>
      <c r="H152" s="106"/>
      <c r="I152" s="106"/>
      <c r="J152" s="107"/>
      <c r="K152" s="104"/>
      <c r="L152" s="104"/>
      <c r="M152" s="104"/>
      <c r="N152" s="120"/>
      <c r="O152" s="120"/>
      <c r="P152" s="120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</row>
    <row r="153" spans="1:82">
      <c r="A153" s="19"/>
      <c r="B153" s="127"/>
      <c r="C153" s="127"/>
      <c r="D153" s="120"/>
      <c r="E153" s="104"/>
      <c r="F153" s="104"/>
      <c r="G153" s="105"/>
      <c r="H153" s="106"/>
      <c r="I153" s="106"/>
      <c r="J153" s="107"/>
      <c r="K153" s="104"/>
      <c r="L153" s="104"/>
      <c r="M153" s="104"/>
      <c r="N153" s="120"/>
      <c r="O153" s="120"/>
      <c r="P153" s="120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</row>
    <row r="154" spans="1:82">
      <c r="A154" s="19"/>
      <c r="B154" s="127"/>
      <c r="C154" s="127"/>
      <c r="D154" s="120"/>
      <c r="E154" s="104"/>
      <c r="F154" s="104"/>
      <c r="G154" s="105"/>
      <c r="H154" s="106"/>
      <c r="I154" s="106"/>
      <c r="J154" s="107"/>
      <c r="K154" s="104"/>
      <c r="L154" s="104"/>
      <c r="M154" s="104"/>
      <c r="N154" s="120"/>
      <c r="O154" s="120"/>
      <c r="P154" s="120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</row>
    <row r="155" spans="1:82">
      <c r="A155" s="19"/>
      <c r="B155" s="127"/>
      <c r="C155" s="127"/>
      <c r="D155" s="120"/>
      <c r="E155" s="104"/>
      <c r="F155" s="104"/>
      <c r="G155" s="105"/>
      <c r="H155" s="106"/>
      <c r="I155" s="106"/>
      <c r="J155" s="107"/>
      <c r="K155" s="104"/>
      <c r="L155" s="104"/>
      <c r="M155" s="104"/>
      <c r="N155" s="120"/>
      <c r="O155" s="120"/>
      <c r="P155" s="120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</row>
    <row r="156" spans="1:82">
      <c r="A156" s="19"/>
      <c r="B156" s="127"/>
      <c r="C156" s="127"/>
      <c r="D156" s="120"/>
      <c r="E156" s="104"/>
      <c r="F156" s="104"/>
      <c r="G156" s="105"/>
      <c r="H156" s="106"/>
      <c r="I156" s="106"/>
      <c r="J156" s="107"/>
      <c r="K156" s="104"/>
      <c r="L156" s="104"/>
      <c r="M156" s="104"/>
      <c r="N156" s="120"/>
      <c r="O156" s="120"/>
      <c r="P156" s="120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</row>
    <row r="157" spans="1:82">
      <c r="A157" s="19"/>
      <c r="B157" s="127"/>
      <c r="C157" s="127"/>
      <c r="D157" s="120"/>
      <c r="E157" s="104"/>
      <c r="F157" s="104"/>
      <c r="G157" s="105"/>
      <c r="H157" s="106"/>
      <c r="I157" s="106"/>
      <c r="J157" s="107"/>
      <c r="K157" s="104"/>
      <c r="L157" s="104"/>
      <c r="M157" s="104"/>
      <c r="N157" s="120"/>
      <c r="O157" s="120"/>
      <c r="P157" s="120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</row>
    <row r="158" spans="1:82">
      <c r="A158" s="19"/>
      <c r="B158" s="127"/>
      <c r="C158" s="127"/>
      <c r="D158" s="120"/>
      <c r="E158" s="104"/>
      <c r="F158" s="104"/>
      <c r="G158" s="105"/>
      <c r="H158" s="106"/>
      <c r="I158" s="106"/>
      <c r="J158" s="107"/>
      <c r="K158" s="104"/>
      <c r="L158" s="104"/>
      <c r="M158" s="104"/>
      <c r="N158" s="120"/>
      <c r="O158" s="120"/>
      <c r="P158" s="120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</row>
    <row r="159" spans="1:82">
      <c r="A159" s="19"/>
      <c r="B159" s="127"/>
      <c r="C159" s="127"/>
      <c r="D159" s="120"/>
      <c r="E159" s="104"/>
      <c r="F159" s="104"/>
      <c r="G159" s="105"/>
      <c r="H159" s="106"/>
      <c r="I159" s="106"/>
      <c r="J159" s="107"/>
      <c r="K159" s="104"/>
      <c r="L159" s="104"/>
      <c r="M159" s="104"/>
      <c r="N159" s="120"/>
      <c r="O159" s="120"/>
      <c r="P159" s="120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</row>
    <row r="160" spans="1:82">
      <c r="A160" s="19"/>
      <c r="B160" s="127"/>
      <c r="C160" s="127"/>
      <c r="D160" s="120"/>
      <c r="E160" s="104"/>
      <c r="F160" s="104"/>
      <c r="G160" s="105"/>
      <c r="H160" s="106"/>
      <c r="I160" s="106"/>
      <c r="J160" s="107"/>
      <c r="K160" s="104"/>
      <c r="L160" s="104"/>
      <c r="M160" s="104"/>
      <c r="N160" s="120"/>
      <c r="O160" s="120"/>
      <c r="P160" s="120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</row>
    <row r="161" spans="1:82">
      <c r="A161" s="19"/>
      <c r="B161" s="127"/>
      <c r="C161" s="127"/>
      <c r="D161" s="120"/>
      <c r="E161" s="104"/>
      <c r="F161" s="104"/>
      <c r="G161" s="105"/>
      <c r="H161" s="106"/>
      <c r="I161" s="106"/>
      <c r="J161" s="107"/>
      <c r="K161" s="104"/>
      <c r="L161" s="104"/>
      <c r="M161" s="104"/>
      <c r="N161" s="120"/>
      <c r="O161" s="120"/>
      <c r="P161" s="120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</row>
    <row r="162" spans="1:82">
      <c r="A162" s="19"/>
      <c r="B162" s="127"/>
      <c r="C162" s="127"/>
      <c r="D162" s="120"/>
      <c r="E162" s="104"/>
      <c r="F162" s="104"/>
      <c r="G162" s="105"/>
      <c r="H162" s="106"/>
      <c r="I162" s="106"/>
      <c r="J162" s="107"/>
      <c r="K162" s="104"/>
      <c r="L162" s="104"/>
      <c r="M162" s="104"/>
      <c r="N162" s="120"/>
      <c r="O162" s="120"/>
      <c r="P162" s="120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</row>
    <row r="163" spans="1:82">
      <c r="A163" s="19"/>
      <c r="B163" s="127"/>
      <c r="C163" s="127"/>
      <c r="D163" s="120"/>
      <c r="E163" s="104"/>
      <c r="F163" s="104"/>
      <c r="G163" s="105"/>
      <c r="H163" s="106"/>
      <c r="I163" s="106"/>
      <c r="J163" s="107"/>
      <c r="K163" s="104"/>
      <c r="L163" s="104"/>
      <c r="M163" s="104"/>
      <c r="N163" s="120"/>
      <c r="O163" s="120"/>
      <c r="P163" s="120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</row>
    <row r="164" spans="1:82">
      <c r="A164" s="19"/>
      <c r="B164" s="127"/>
      <c r="C164" s="127"/>
      <c r="D164" s="120"/>
      <c r="E164" s="104"/>
      <c r="F164" s="104"/>
      <c r="G164" s="105"/>
      <c r="H164" s="106"/>
      <c r="I164" s="106"/>
      <c r="J164" s="107"/>
      <c r="K164" s="104"/>
      <c r="L164" s="104"/>
      <c r="M164" s="104"/>
      <c r="N164" s="120"/>
      <c r="O164" s="120"/>
      <c r="P164" s="120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</row>
    <row r="165" spans="1:82">
      <c r="A165" s="19"/>
      <c r="B165" s="127"/>
      <c r="C165" s="127"/>
      <c r="D165" s="120"/>
      <c r="E165" s="104"/>
      <c r="F165" s="104"/>
      <c r="G165" s="105"/>
      <c r="H165" s="106"/>
      <c r="I165" s="106"/>
      <c r="J165" s="107"/>
      <c r="K165" s="104"/>
      <c r="L165" s="104"/>
      <c r="M165" s="104"/>
      <c r="N165" s="120"/>
      <c r="O165" s="120"/>
      <c r="P165" s="120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</row>
    <row r="166" spans="1:82">
      <c r="A166" s="19"/>
      <c r="B166" s="127"/>
      <c r="C166" s="127"/>
      <c r="D166" s="120"/>
      <c r="E166" s="104"/>
      <c r="F166" s="104"/>
      <c r="G166" s="105"/>
      <c r="H166" s="106"/>
      <c r="I166" s="106"/>
      <c r="J166" s="107"/>
      <c r="K166" s="104"/>
      <c r="L166" s="104"/>
      <c r="M166" s="104"/>
      <c r="N166" s="120"/>
      <c r="O166" s="120"/>
      <c r="P166" s="120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</row>
    <row r="167" spans="1:82">
      <c r="A167" s="19"/>
      <c r="B167" s="127"/>
      <c r="C167" s="127"/>
      <c r="D167" s="120"/>
      <c r="E167" s="104"/>
      <c r="F167" s="104"/>
      <c r="G167" s="105"/>
      <c r="H167" s="106"/>
      <c r="I167" s="106"/>
      <c r="J167" s="107"/>
      <c r="K167" s="104"/>
      <c r="L167" s="104"/>
      <c r="M167" s="104"/>
      <c r="N167" s="120"/>
      <c r="O167" s="120"/>
      <c r="P167" s="120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</row>
    <row r="168" spans="1:82">
      <c r="A168" s="19"/>
      <c r="B168" s="127"/>
      <c r="C168" s="127"/>
      <c r="D168" s="120"/>
      <c r="E168" s="104"/>
      <c r="F168" s="104"/>
      <c r="G168" s="105"/>
      <c r="H168" s="106"/>
      <c r="I168" s="106"/>
      <c r="J168" s="107"/>
      <c r="K168" s="104"/>
      <c r="L168" s="104"/>
      <c r="M168" s="104"/>
      <c r="N168" s="120"/>
      <c r="O168" s="120"/>
      <c r="P168" s="120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</row>
    <row r="169" spans="1:82">
      <c r="A169" s="19"/>
      <c r="B169" s="127"/>
      <c r="C169" s="127"/>
      <c r="D169" s="120"/>
      <c r="E169" s="104"/>
      <c r="F169" s="104"/>
      <c r="G169" s="105"/>
      <c r="H169" s="106"/>
      <c r="I169" s="106"/>
      <c r="J169" s="107"/>
      <c r="K169" s="104"/>
      <c r="L169" s="104"/>
      <c r="M169" s="104"/>
      <c r="N169" s="120"/>
      <c r="O169" s="120"/>
      <c r="P169" s="120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</row>
    <row r="170" spans="1:82">
      <c r="A170" s="19"/>
      <c r="B170" s="127"/>
      <c r="C170" s="127"/>
      <c r="D170" s="120"/>
      <c r="E170" s="104"/>
      <c r="F170" s="104"/>
      <c r="G170" s="105"/>
      <c r="H170" s="106"/>
      <c r="I170" s="106"/>
      <c r="J170" s="107"/>
      <c r="K170" s="104"/>
      <c r="L170" s="104"/>
      <c r="M170" s="104"/>
      <c r="N170" s="120"/>
      <c r="O170" s="120"/>
      <c r="P170" s="120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</row>
    <row r="171" spans="1:82">
      <c r="A171" s="19"/>
      <c r="B171" s="127"/>
      <c r="C171" s="127"/>
      <c r="D171" s="120"/>
      <c r="E171" s="104"/>
      <c r="F171" s="104"/>
      <c r="G171" s="105"/>
      <c r="H171" s="106"/>
      <c r="I171" s="106"/>
      <c r="J171" s="107"/>
      <c r="K171" s="104"/>
      <c r="L171" s="104"/>
      <c r="M171" s="104"/>
      <c r="N171" s="120"/>
      <c r="O171" s="120"/>
      <c r="P171" s="120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</row>
    <row r="172" spans="1:82">
      <c r="A172" s="19"/>
      <c r="B172" s="127"/>
      <c r="C172" s="127"/>
      <c r="D172" s="120"/>
      <c r="E172" s="104"/>
      <c r="F172" s="104"/>
      <c r="G172" s="105"/>
      <c r="H172" s="106"/>
      <c r="I172" s="106"/>
      <c r="J172" s="107"/>
      <c r="K172" s="104"/>
      <c r="L172" s="104"/>
      <c r="M172" s="104"/>
      <c r="N172" s="120"/>
      <c r="O172" s="120"/>
      <c r="P172" s="120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</row>
    <row r="173" spans="1:82">
      <c r="A173" s="19"/>
      <c r="B173" s="127"/>
      <c r="C173" s="127"/>
      <c r="D173" s="120"/>
      <c r="E173" s="104"/>
      <c r="F173" s="104"/>
      <c r="G173" s="105"/>
      <c r="H173" s="106"/>
      <c r="I173" s="106"/>
      <c r="J173" s="107"/>
      <c r="K173" s="104"/>
      <c r="L173" s="104"/>
      <c r="M173" s="104"/>
      <c r="N173" s="120"/>
      <c r="O173" s="120"/>
      <c r="P173" s="120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</row>
    <row r="174" spans="1:82">
      <c r="A174" s="19"/>
      <c r="B174" s="127"/>
      <c r="C174" s="127"/>
      <c r="D174" s="120"/>
      <c r="E174" s="104"/>
      <c r="F174" s="104"/>
      <c r="G174" s="105"/>
      <c r="H174" s="106"/>
      <c r="I174" s="106"/>
      <c r="J174" s="107"/>
      <c r="K174" s="104"/>
      <c r="L174" s="104"/>
      <c r="M174" s="104"/>
      <c r="N174" s="120"/>
      <c r="O174" s="120"/>
      <c r="P174" s="120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</row>
    <row r="175" spans="1:82">
      <c r="A175" s="19"/>
      <c r="B175" s="127"/>
      <c r="C175" s="127"/>
      <c r="D175" s="120"/>
      <c r="E175" s="104"/>
      <c r="F175" s="104"/>
      <c r="G175" s="105"/>
      <c r="H175" s="106"/>
      <c r="I175" s="106"/>
      <c r="J175" s="107"/>
      <c r="K175" s="104"/>
      <c r="L175" s="104"/>
      <c r="M175" s="104"/>
      <c r="N175" s="120"/>
      <c r="O175" s="120"/>
      <c r="P175" s="120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</row>
    <row r="176" spans="1:82">
      <c r="A176" s="19"/>
      <c r="B176" s="127"/>
      <c r="C176" s="127"/>
      <c r="D176" s="120"/>
      <c r="E176" s="104"/>
      <c r="F176" s="104"/>
      <c r="G176" s="105"/>
      <c r="H176" s="106"/>
      <c r="I176" s="106"/>
      <c r="J176" s="107"/>
      <c r="K176" s="104"/>
      <c r="L176" s="104"/>
      <c r="M176" s="104"/>
      <c r="N176" s="120"/>
      <c r="O176" s="120"/>
      <c r="P176" s="120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</row>
    <row r="177" spans="1:82">
      <c r="A177" s="19"/>
      <c r="B177" s="127"/>
      <c r="C177" s="127"/>
      <c r="D177" s="120"/>
      <c r="E177" s="104"/>
      <c r="F177" s="104"/>
      <c r="G177" s="105"/>
      <c r="H177" s="106"/>
      <c r="I177" s="106"/>
      <c r="J177" s="107"/>
      <c r="K177" s="104"/>
      <c r="L177" s="104"/>
      <c r="M177" s="104"/>
      <c r="N177" s="120"/>
      <c r="O177" s="120"/>
      <c r="P177" s="120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</row>
    <row r="178" spans="1:82">
      <c r="A178" s="19"/>
      <c r="B178" s="127"/>
      <c r="C178" s="127"/>
      <c r="D178" s="120"/>
      <c r="E178" s="104"/>
      <c r="F178" s="104"/>
      <c r="G178" s="105"/>
      <c r="H178" s="106"/>
      <c r="I178" s="106"/>
      <c r="J178" s="107"/>
      <c r="K178" s="104"/>
      <c r="L178" s="104"/>
      <c r="M178" s="104"/>
      <c r="N178" s="120"/>
      <c r="O178" s="120"/>
      <c r="P178" s="120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</row>
    <row r="179" spans="1:82">
      <c r="A179" s="19"/>
      <c r="B179" s="127"/>
      <c r="C179" s="127"/>
      <c r="D179" s="120"/>
      <c r="E179" s="104"/>
      <c r="F179" s="104"/>
      <c r="G179" s="105"/>
      <c r="H179" s="106"/>
      <c r="I179" s="106"/>
      <c r="J179" s="107"/>
      <c r="K179" s="104"/>
      <c r="L179" s="104"/>
      <c r="M179" s="104"/>
      <c r="N179" s="120"/>
      <c r="O179" s="120"/>
      <c r="P179" s="120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</row>
    <row r="180" spans="1:82">
      <c r="A180" s="19"/>
      <c r="B180" s="127"/>
      <c r="C180" s="127"/>
      <c r="D180" s="120"/>
      <c r="E180" s="104"/>
      <c r="F180" s="104"/>
      <c r="G180" s="105"/>
      <c r="H180" s="106"/>
      <c r="I180" s="106"/>
      <c r="J180" s="107"/>
      <c r="K180" s="104"/>
      <c r="L180" s="104"/>
      <c r="M180" s="104"/>
      <c r="N180" s="120"/>
      <c r="O180" s="120"/>
      <c r="P180" s="120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</row>
    <row r="181" spans="1:82">
      <c r="A181" s="19"/>
      <c r="B181" s="127"/>
      <c r="C181" s="127"/>
      <c r="D181" s="120"/>
      <c r="E181" s="104"/>
      <c r="F181" s="104"/>
      <c r="G181" s="105"/>
      <c r="H181" s="106"/>
      <c r="I181" s="106"/>
      <c r="J181" s="107"/>
      <c r="K181" s="104"/>
      <c r="L181" s="104"/>
      <c r="M181" s="104"/>
      <c r="N181" s="120"/>
      <c r="O181" s="120"/>
      <c r="P181" s="120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</row>
    <row r="182" spans="1:82">
      <c r="A182" s="19"/>
      <c r="B182" s="127"/>
      <c r="C182" s="127"/>
      <c r="D182" s="120"/>
      <c r="E182" s="104"/>
      <c r="F182" s="104"/>
      <c r="G182" s="105"/>
      <c r="H182" s="106"/>
      <c r="I182" s="106"/>
      <c r="J182" s="107"/>
      <c r="K182" s="104"/>
      <c r="L182" s="104"/>
      <c r="M182" s="104"/>
      <c r="N182" s="120"/>
      <c r="O182" s="120"/>
      <c r="P182" s="120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</row>
    <row r="183" spans="1:82">
      <c r="A183" s="19"/>
      <c r="B183" s="127"/>
      <c r="C183" s="127"/>
      <c r="D183" s="120"/>
      <c r="E183" s="104"/>
      <c r="F183" s="104"/>
      <c r="G183" s="105"/>
      <c r="H183" s="106"/>
      <c r="I183" s="106"/>
      <c r="J183" s="107"/>
      <c r="K183" s="104"/>
      <c r="L183" s="104"/>
      <c r="M183" s="104"/>
      <c r="N183" s="120"/>
      <c r="O183" s="120"/>
      <c r="P183" s="120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</row>
    <row r="184" spans="1:82">
      <c r="A184" s="19"/>
      <c r="B184" s="127"/>
      <c r="C184" s="127"/>
      <c r="D184" s="120"/>
      <c r="E184" s="104"/>
      <c r="F184" s="104"/>
      <c r="G184" s="105"/>
      <c r="H184" s="106"/>
      <c r="I184" s="106"/>
      <c r="J184" s="107"/>
      <c r="K184" s="104"/>
      <c r="L184" s="104"/>
      <c r="M184" s="104"/>
      <c r="N184" s="120"/>
      <c r="O184" s="120"/>
      <c r="P184" s="120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</row>
    <row r="185" spans="1:82">
      <c r="A185" s="19"/>
      <c r="B185" s="127"/>
      <c r="C185" s="127"/>
      <c r="D185" s="120"/>
      <c r="E185" s="104"/>
      <c r="F185" s="104"/>
      <c r="G185" s="105"/>
      <c r="H185" s="106"/>
      <c r="I185" s="106"/>
      <c r="J185" s="107"/>
      <c r="K185" s="104"/>
      <c r="L185" s="104"/>
      <c r="M185" s="104"/>
      <c r="N185" s="120"/>
      <c r="O185" s="120"/>
      <c r="P185" s="120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</row>
    <row r="186" spans="1:82">
      <c r="A186" s="19"/>
      <c r="B186" s="127"/>
      <c r="C186" s="127"/>
      <c r="D186" s="120"/>
      <c r="E186" s="104"/>
      <c r="F186" s="104"/>
      <c r="G186" s="105"/>
      <c r="H186" s="106"/>
      <c r="I186" s="106"/>
      <c r="J186" s="107"/>
      <c r="K186" s="104"/>
      <c r="L186" s="104"/>
      <c r="M186" s="104"/>
      <c r="N186" s="120"/>
      <c r="O186" s="120"/>
      <c r="P186" s="120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</row>
    <row r="187" spans="1:82">
      <c r="A187" s="19"/>
      <c r="B187" s="127"/>
      <c r="C187" s="127"/>
      <c r="D187" s="120"/>
      <c r="E187" s="104"/>
      <c r="F187" s="104"/>
      <c r="G187" s="105"/>
      <c r="H187" s="106"/>
      <c r="I187" s="106"/>
      <c r="J187" s="107"/>
      <c r="K187" s="104"/>
      <c r="L187" s="104"/>
      <c r="M187" s="104"/>
      <c r="N187" s="120"/>
      <c r="O187" s="120"/>
      <c r="P187" s="120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</row>
    <row r="188" spans="1:82">
      <c r="A188" s="19"/>
      <c r="B188" s="127"/>
      <c r="C188" s="127"/>
      <c r="D188" s="120"/>
      <c r="E188" s="104"/>
      <c r="F188" s="104"/>
      <c r="G188" s="105"/>
      <c r="H188" s="106"/>
      <c r="I188" s="106"/>
      <c r="J188" s="107"/>
      <c r="K188" s="104"/>
      <c r="L188" s="104"/>
      <c r="M188" s="104"/>
      <c r="N188" s="120"/>
      <c r="O188" s="120"/>
      <c r="P188" s="120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</row>
    <row r="189" spans="1:82">
      <c r="A189" s="19"/>
      <c r="B189" s="127"/>
      <c r="C189" s="127"/>
      <c r="D189" s="120"/>
      <c r="E189" s="104"/>
      <c r="F189" s="104"/>
      <c r="G189" s="105"/>
      <c r="H189" s="106"/>
      <c r="I189" s="106"/>
      <c r="J189" s="107"/>
      <c r="K189" s="104"/>
      <c r="L189" s="104"/>
      <c r="M189" s="104"/>
      <c r="N189" s="120"/>
      <c r="O189" s="120"/>
      <c r="P189" s="120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</row>
    <row r="190" spans="1:82">
      <c r="A190" s="19"/>
      <c r="B190" s="127"/>
      <c r="C190" s="127"/>
      <c r="D190" s="120"/>
      <c r="E190" s="104"/>
      <c r="F190" s="104"/>
      <c r="G190" s="105"/>
      <c r="H190" s="106"/>
      <c r="I190" s="106"/>
      <c r="J190" s="107"/>
      <c r="K190" s="104"/>
      <c r="L190" s="104"/>
      <c r="M190" s="104"/>
      <c r="N190" s="120"/>
      <c r="O190" s="120"/>
      <c r="P190" s="120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</row>
    <row r="191" spans="1:82">
      <c r="A191" s="19"/>
      <c r="B191" s="127"/>
      <c r="C191" s="127"/>
      <c r="D191" s="120"/>
      <c r="E191" s="104"/>
      <c r="F191" s="104"/>
      <c r="G191" s="105"/>
      <c r="H191" s="106"/>
      <c r="I191" s="106"/>
      <c r="J191" s="107"/>
      <c r="K191" s="104"/>
      <c r="L191" s="104"/>
      <c r="M191" s="104"/>
      <c r="N191" s="120"/>
      <c r="O191" s="120"/>
      <c r="P191" s="120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</row>
    <row r="192" spans="1:82">
      <c r="A192" s="19"/>
      <c r="B192" s="127"/>
      <c r="C192" s="127"/>
      <c r="D192" s="120"/>
      <c r="E192" s="104"/>
      <c r="F192" s="104"/>
      <c r="G192" s="105"/>
      <c r="H192" s="106"/>
      <c r="I192" s="106"/>
      <c r="J192" s="107"/>
      <c r="K192" s="104"/>
      <c r="L192" s="104"/>
      <c r="M192" s="104"/>
      <c r="N192" s="120"/>
      <c r="O192" s="120"/>
      <c r="P192" s="120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</row>
    <row r="193" spans="1:82">
      <c r="A193" s="19"/>
      <c r="B193" s="127"/>
      <c r="C193" s="127"/>
      <c r="D193" s="120"/>
      <c r="E193" s="104"/>
      <c r="F193" s="104"/>
      <c r="G193" s="105"/>
      <c r="H193" s="106"/>
      <c r="I193" s="106"/>
      <c r="J193" s="107"/>
      <c r="K193" s="104"/>
      <c r="L193" s="104"/>
      <c r="M193" s="104"/>
      <c r="N193" s="120"/>
      <c r="O193" s="120"/>
      <c r="P193" s="120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</row>
    <row r="194" spans="1:82">
      <c r="A194" s="19"/>
      <c r="B194" s="127"/>
      <c r="C194" s="127"/>
      <c r="D194" s="120"/>
      <c r="E194" s="104"/>
      <c r="F194" s="104"/>
      <c r="G194" s="105"/>
      <c r="H194" s="106"/>
      <c r="I194" s="106"/>
      <c r="J194" s="107"/>
      <c r="K194" s="104"/>
      <c r="L194" s="104"/>
      <c r="M194" s="104"/>
      <c r="N194" s="120"/>
      <c r="O194" s="120"/>
      <c r="P194" s="120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</row>
    <row r="195" spans="1:82">
      <c r="A195" s="19"/>
      <c r="B195" s="127"/>
      <c r="C195" s="127"/>
      <c r="D195" s="120"/>
      <c r="E195" s="104"/>
      <c r="F195" s="104"/>
      <c r="G195" s="105"/>
      <c r="H195" s="106"/>
      <c r="I195" s="106"/>
      <c r="J195" s="107"/>
      <c r="K195" s="104"/>
      <c r="L195" s="104"/>
      <c r="M195" s="104"/>
      <c r="N195" s="120"/>
      <c r="O195" s="120"/>
      <c r="P195" s="120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</row>
    <row r="196" spans="1:82">
      <c r="A196" s="19"/>
      <c r="B196" s="127"/>
      <c r="C196" s="127"/>
      <c r="D196" s="120"/>
      <c r="E196" s="104"/>
      <c r="F196" s="104"/>
      <c r="G196" s="105"/>
      <c r="H196" s="106"/>
      <c r="I196" s="106"/>
      <c r="J196" s="107"/>
      <c r="K196" s="104"/>
      <c r="L196" s="104"/>
      <c r="M196" s="104"/>
      <c r="N196" s="120"/>
      <c r="O196" s="120"/>
      <c r="P196" s="120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</row>
    <row r="197" spans="1:82">
      <c r="A197" s="19"/>
      <c r="B197" s="127"/>
      <c r="C197" s="127"/>
      <c r="D197" s="120"/>
      <c r="E197" s="104"/>
      <c r="F197" s="104"/>
      <c r="G197" s="105"/>
      <c r="H197" s="106"/>
      <c r="I197" s="106"/>
      <c r="J197" s="107"/>
      <c r="K197" s="104"/>
      <c r="L197" s="104"/>
      <c r="M197" s="104"/>
      <c r="N197" s="120"/>
      <c r="O197" s="120"/>
      <c r="P197" s="120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</row>
  </sheetData>
  <mergeCells count="35">
    <mergeCell ref="V1:W1"/>
    <mergeCell ref="Y1:Z1"/>
    <mergeCell ref="AB1:AC1"/>
    <mergeCell ref="AE1:AF1"/>
    <mergeCell ref="AH1:AI1"/>
    <mergeCell ref="AK1:AL1"/>
    <mergeCell ref="AN1:AO1"/>
    <mergeCell ref="AQ1:AR1"/>
    <mergeCell ref="U2:V2"/>
    <mergeCell ref="AD3:AE3"/>
    <mergeCell ref="AH3:AI3"/>
    <mergeCell ref="AK3:AL3"/>
    <mergeCell ref="AN3:AO3"/>
    <mergeCell ref="E6:F6"/>
    <mergeCell ref="K6:L6"/>
    <mergeCell ref="N6:O6"/>
    <mergeCell ref="Q6:EF6"/>
    <mergeCell ref="Q9:EF9"/>
    <mergeCell ref="Q28:EF28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</mergeCells>
  <conditionalFormatting sqref="J7:J29">
    <cfRule type="dataBar" priority="2">
      <dataBar>
        <cfvo type="num" val="0"/>
        <cfvo type="num" val="1"/>
        <color rgb="FFFFC60A"/>
      </dataBar>
      <extLst>
        <ext xmlns:x14="http://schemas.microsoft.com/office/spreadsheetml/2009/9/main" uri="{B025F937-C7B1-47D3-B67F-A62EFF666E3E}">
          <x14:id>{aa746dbf-12f2-443f-95a3-e59ee52e18fe}</x14:id>
        </ext>
      </extLst>
    </cfRule>
  </conditionalFormatting>
  <conditionalFormatting sqref="Q7:EE29">
    <cfRule type="expression" dxfId="0" priority="3" stopIfTrue="1">
      <formula>AND($K7&gt;$F7,Q$4&gt;$F7,Q$4&lt;=$K7)</formula>
    </cfRule>
    <cfRule type="expression" dxfId="1" priority="4" stopIfTrue="1">
      <formula>AND(Q$4&gt;=$J7,Q$4&lt;=$K7)</formula>
    </cfRule>
    <cfRule type="expression" dxfId="2" priority="5" stopIfTrue="1">
      <formula>AND(Q$4&gt;=$E7,Q$4&lt;=$F7)</formula>
    </cfRule>
  </conditionalFormatting>
  <dataValidations count="4">
    <dataValidation type="list" allowBlank="1" showErrorMessage="1" sqref="C2:C29 C30:C197">
      <formula1>"李光军,李斌,张永菲,王昌泽,矫淑宏,胡兆稳,刘瀚远,苏浩南,林凤晟,孙启明,孙佳明,赵添志,田华,高杰,吴秀晗,宁文龙,宋成志"</formula1>
    </dataValidation>
    <dataValidation type="list" allowBlank="1" showErrorMessage="1" sqref="D7:D29 D30:D197">
      <formula1>"待启动 💡,进行中 🔛,开发完成👌,已完成 ❇️,已延期 💥"</formula1>
    </dataValidation>
    <dataValidation type="list" allowBlank="1" showErrorMessage="1" sqref="M7:M8 M10:M29 M30:M197">
      <formula1>"孙启明,孙佳明,赵添志,田华"</formula1>
    </dataValidation>
    <dataValidation type="list" allowBlank="1" showErrorMessage="1" sqref="P7:P29">
      <formula1>"通过,未通过"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746dbf-12f2-443f-95a3-e59ee52e18fe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76964"/>
              <x14:axisColor indexed="65"/>
            </x14:dataBar>
          </x14:cfRule>
          <xm:sqref>J7:J29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U209"/>
  <sheetViews>
    <sheetView showGridLines="0" topLeftCell="A6" workbookViewId="0">
      <selection activeCell="A1" sqref="A1"/>
    </sheetView>
  </sheetViews>
  <sheetFormatPr defaultColWidth="14" defaultRowHeight="13.2"/>
  <cols>
    <col min="1" max="1" width="4" customWidth="1"/>
    <col min="2" max="3" width="11.7777777777778"/>
    <col min="4" max="4" width="6" customWidth="1"/>
    <col min="5" max="6" width="13.4444444444444"/>
    <col min="7" max="9" width="14" customWidth="1"/>
    <col min="10" max="10" width="15" customWidth="1"/>
    <col min="11" max="12" width="14" customWidth="1"/>
    <col min="13" max="14" width="21" customWidth="1"/>
    <col min="15" max="15" width="15" customWidth="1"/>
    <col min="16" max="77" width="14" customWidth="1"/>
  </cols>
  <sheetData>
    <row r="1" ht="10" customHeight="1" spans="1:73">
      <c r="A1" s="29"/>
      <c r="B1" s="30"/>
      <c r="C1" s="30"/>
      <c r="D1" s="30"/>
      <c r="E1" s="30"/>
      <c r="F1" s="30"/>
      <c r="G1" s="30"/>
      <c r="H1" s="30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</row>
    <row r="2" ht="33" customHeight="1" spans="1:73">
      <c r="A2" s="29"/>
      <c r="B2" s="30" t="s">
        <v>82</v>
      </c>
      <c r="C2" s="30"/>
      <c r="D2" s="30"/>
      <c r="E2" s="30"/>
      <c r="F2" s="30"/>
      <c r="G2" s="30"/>
      <c r="H2" s="30"/>
      <c r="I2" s="30"/>
      <c r="J2" s="30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</row>
    <row r="3" ht="5" customHeight="1" spans="1:73">
      <c r="A3" s="29"/>
      <c r="B3" s="30"/>
      <c r="C3" s="30"/>
      <c r="D3" s="30"/>
      <c r="E3" s="30"/>
      <c r="F3" s="30"/>
      <c r="G3" s="30"/>
      <c r="H3" s="30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</row>
    <row r="4" ht="20" customHeight="1" spans="1:73">
      <c r="A4" s="15"/>
      <c r="B4" s="31"/>
      <c r="C4" s="31"/>
      <c r="D4" s="31"/>
      <c r="E4" s="31"/>
      <c r="F4" s="31"/>
      <c r="G4" s="31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</row>
    <row r="5" ht="20" customHeight="1" spans="1:73">
      <c r="A5" s="15"/>
      <c r="B5" s="31"/>
      <c r="C5" s="32" t="s">
        <v>83</v>
      </c>
      <c r="D5" s="32"/>
      <c r="E5" s="32"/>
      <c r="F5" s="32"/>
      <c r="G5" s="33"/>
      <c r="J5" s="34" t="s">
        <v>84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</row>
    <row r="6" ht="20" customHeight="1" spans="1:73">
      <c r="A6" s="15"/>
      <c r="B6" s="31"/>
      <c r="C6" s="32"/>
      <c r="D6" s="32"/>
      <c r="E6" s="32"/>
      <c r="F6" s="32"/>
      <c r="G6" s="33"/>
      <c r="J6" s="35" t="s">
        <v>85</v>
      </c>
      <c r="K6" s="15"/>
      <c r="L6" s="36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</row>
    <row r="7" spans="1:73">
      <c r="A7" s="15"/>
      <c r="B7" s="31"/>
      <c r="C7" s="32"/>
      <c r="D7" s="32"/>
      <c r="E7" s="32"/>
      <c r="F7" s="32"/>
      <c r="G7" s="33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</row>
    <row r="8" spans="1:73">
      <c r="A8" s="15"/>
      <c r="B8" s="31"/>
      <c r="C8" s="31"/>
      <c r="D8" s="31"/>
      <c r="E8" s="31"/>
      <c r="F8" s="31"/>
      <c r="G8" s="3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</row>
    <row r="9" spans="1:7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</row>
    <row r="10" ht="37" customHeight="1" spans="1:73">
      <c r="A10" s="15"/>
      <c r="B10" s="37" t="s">
        <v>86</v>
      </c>
      <c r="C10" s="37"/>
      <c r="D10" s="37"/>
      <c r="E10" s="37"/>
      <c r="F10" s="37"/>
      <c r="G10" s="3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</row>
    <row r="11" ht="28" customHeight="1" spans="1:73">
      <c r="A11" s="15"/>
      <c r="B11" s="38" t="s">
        <v>87</v>
      </c>
      <c r="C11" s="38"/>
      <c r="D11" s="15"/>
      <c r="E11" s="38" t="s">
        <v>88</v>
      </c>
      <c r="F11" s="38"/>
      <c r="G11" s="3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</row>
    <row r="12" spans="1:73">
      <c r="A12" s="15"/>
      <c r="B12" t="s">
        <v>89</v>
      </c>
      <c r="D12" s="15"/>
      <c r="E12" t="s">
        <v>90</v>
      </c>
      <c r="F12" t="s">
        <v>91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</row>
    <row r="13" spans="1:73">
      <c r="A13" s="15"/>
      <c r="B13">
        <v>59</v>
      </c>
      <c r="D13" s="15"/>
      <c r="E13">
        <v>59</v>
      </c>
      <c r="F13">
        <v>194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4" spans="1:73">
      <c r="A14" s="15"/>
      <c r="D14" s="15"/>
      <c r="F14" s="15"/>
      <c r="G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</row>
    <row r="15" spans="1:73">
      <c r="A15" s="15"/>
      <c r="D15" s="15"/>
      <c r="F15" s="15"/>
      <c r="G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</row>
    <row r="16" ht="20" customHeight="1" spans="1:73">
      <c r="A16" s="15"/>
      <c r="D16" s="15"/>
      <c r="F16" s="15"/>
      <c r="G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</row>
    <row r="17" ht="20" customHeight="1" spans="1:73">
      <c r="A17" s="15"/>
      <c r="B17" s="15"/>
      <c r="C17" s="15"/>
      <c r="D17" s="15"/>
      <c r="E17" s="15"/>
      <c r="F17" s="15"/>
      <c r="G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</row>
    <row r="18" spans="1:73">
      <c r="A18" s="15"/>
      <c r="B18" s="15"/>
      <c r="C18" s="15"/>
      <c r="D18" s="15"/>
      <c r="E18" s="15"/>
      <c r="F18" s="15"/>
      <c r="G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</row>
    <row r="19" ht="8" customHeight="1" spans="1:7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</row>
    <row r="20" ht="8" customHeight="1" spans="1:7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</row>
    <row r="21" ht="8" customHeight="1" spans="1:7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ht="36" customHeight="1" spans="1:73">
      <c r="A22" s="15"/>
      <c r="B22" s="37" t="s">
        <v>92</v>
      </c>
      <c r="C22" s="37"/>
      <c r="D22" s="37"/>
      <c r="E22" s="37"/>
      <c r="F22" s="37"/>
      <c r="G22" s="37"/>
      <c r="H22" s="37"/>
      <c r="I22" s="37"/>
      <c r="J22" s="37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</row>
    <row r="23" ht="26" customHeight="1" spans="1:73">
      <c r="A23" s="15"/>
      <c r="B23" s="38" t="s">
        <v>93</v>
      </c>
      <c r="C23" s="38"/>
      <c r="D23" s="15"/>
      <c r="E23" s="38" t="s">
        <v>94</v>
      </c>
      <c r="F23" s="38"/>
      <c r="G23" s="38"/>
      <c r="H23" s="38"/>
      <c r="I23" s="38"/>
      <c r="J23" s="38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</row>
    <row r="24" spans="1:73">
      <c r="A24" s="15"/>
      <c r="B24" t="s">
        <v>14</v>
      </c>
      <c r="C24" t="s">
        <v>89</v>
      </c>
      <c r="F24" t="s">
        <v>14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</row>
    <row r="25" spans="1:73">
      <c r="A25" s="15"/>
      <c r="B25" t="s">
        <v>95</v>
      </c>
      <c r="F25" t="s">
        <v>95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</row>
    <row r="26" spans="1:73">
      <c r="A26" s="15"/>
      <c r="E26" t="s">
        <v>89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</row>
    <row r="27" spans="1:73">
      <c r="A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</row>
    <row r="28" spans="1:73">
      <c r="A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</row>
    <row r="29" spans="1:73">
      <c r="A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spans="1:73">
      <c r="A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</row>
    <row r="31" spans="1:73">
      <c r="A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spans="1:73">
      <c r="A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</row>
    <row r="33" spans="1:7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</row>
    <row r="34" spans="1:7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</row>
    <row r="35" spans="1:7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</row>
    <row r="36" spans="1:7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</row>
    <row r="37" spans="1:7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spans="1:7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</row>
    <row r="39" spans="1:7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</row>
    <row r="40" spans="1:7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</row>
    <row r="41" spans="1:7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</row>
    <row r="42" spans="1:7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</row>
    <row r="43" spans="1:7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</row>
    <row r="44" spans="1:7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</row>
    <row r="45" spans="1:7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</row>
    <row r="46" spans="1:7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</row>
    <row r="47" spans="1:7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</row>
    <row r="48" spans="1:7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</row>
    <row r="49" spans="1:7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</row>
    <row r="50" spans="1:7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</row>
    <row r="51" spans="1:7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</row>
    <row r="52" spans="1:7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</row>
    <row r="53" spans="1:7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</row>
    <row r="54" spans="1:7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</row>
    <row r="55" spans="1:7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</row>
    <row r="56" spans="1:7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</row>
    <row r="57" spans="1:7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</row>
    <row r="58" spans="1:7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</row>
    <row r="59" spans="1:7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</row>
    <row r="60" spans="1:7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</row>
    <row r="61" spans="1:7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</row>
    <row r="62" spans="1:7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</row>
    <row r="63" spans="1:7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</row>
    <row r="64" spans="1:7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</row>
    <row r="65" spans="1:7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</row>
    <row r="66" spans="1:7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</row>
    <row r="67" spans="1:7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</row>
    <row r="68" spans="1:7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</row>
    <row r="69" spans="1:7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</row>
    <row r="70" spans="1:7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</row>
    <row r="71" spans="1:7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</row>
    <row r="72" spans="1:7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</row>
    <row r="73" spans="1: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</row>
    <row r="74" spans="1:7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</row>
    <row r="75" spans="1:7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</row>
    <row r="76" spans="1:7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</row>
    <row r="77" spans="1:7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</row>
    <row r="78" spans="1:7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</row>
    <row r="79" spans="1:7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</row>
    <row r="80" spans="1:7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</row>
    <row r="81" spans="1:7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</row>
    <row r="82" spans="1:7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</row>
    <row r="83" spans="1:7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</row>
    <row r="84" spans="1:7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</row>
    <row r="85" spans="1:7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</row>
    <row r="86" spans="1:7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</row>
    <row r="87" spans="1:7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</row>
    <row r="88" spans="1:7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</row>
    <row r="89" spans="1:7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</row>
    <row r="90" spans="1:7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</row>
    <row r="91" spans="1:7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</row>
    <row r="92" spans="1:7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</row>
    <row r="93" spans="1:7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</row>
    <row r="94" spans="1:7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</row>
    <row r="95" spans="1:7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</row>
    <row r="96" spans="1:7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</row>
    <row r="97" spans="1:7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</row>
    <row r="98" spans="1:7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</row>
    <row r="99" spans="1:7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</row>
    <row r="100" spans="1:7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</row>
    <row r="101" spans="1:7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</row>
    <row r="102" spans="1:7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</row>
    <row r="103" spans="1:7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</row>
    <row r="104" spans="1:7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</row>
    <row r="105" spans="1:7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</row>
    <row r="106" spans="1:7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</row>
    <row r="107" spans="1:7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</row>
    <row r="108" spans="1:7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</row>
    <row r="109" spans="1:7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</row>
    <row r="110" spans="1:7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</row>
    <row r="111" spans="1:7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</row>
    <row r="112" spans="1:7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</row>
    <row r="113" spans="1:7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</row>
    <row r="114" spans="1:7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</row>
    <row r="115" spans="1:7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</row>
    <row r="116" spans="1:7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</row>
    <row r="117" spans="1:7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</row>
    <row r="118" spans="1:7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</row>
    <row r="119" spans="1:7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</row>
    <row r="120" spans="1:7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</row>
    <row r="121" spans="1:7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</row>
    <row r="122" spans="1:7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</row>
    <row r="123" spans="1:7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</row>
    <row r="124" spans="1:7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</row>
    <row r="125" spans="1:7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</row>
    <row r="126" spans="1:7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</row>
    <row r="127" spans="1:7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</row>
    <row r="128" spans="1:7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</row>
    <row r="129" spans="1:7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</row>
    <row r="130" spans="1:7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</row>
    <row r="131" spans="1:7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</row>
    <row r="132" spans="1:7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</row>
    <row r="133" spans="1:7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</row>
    <row r="134" spans="1:7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</row>
    <row r="135" spans="1:7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</row>
    <row r="136" spans="1:7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</row>
    <row r="137" spans="1:7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</row>
    <row r="138" spans="1:7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</row>
    <row r="139" spans="1:7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</row>
    <row r="140" spans="1:7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</row>
    <row r="141" spans="1:7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</row>
    <row r="142" spans="1:7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</row>
    <row r="143" spans="1:7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</row>
    <row r="144" spans="1:7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</row>
    <row r="145" spans="1:7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</row>
    <row r="146" spans="1:7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</row>
    <row r="147" spans="1:7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</row>
    <row r="148" spans="1:7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</row>
    <row r="149" spans="1:7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</row>
    <row r="150" spans="1:7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</row>
    <row r="151" spans="1:7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</row>
    <row r="152" spans="1:7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</row>
    <row r="153" spans="1:7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</row>
    <row r="154" spans="1:7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</row>
    <row r="155" spans="1:7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</row>
    <row r="156" spans="1:7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</row>
    <row r="157" spans="1:7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</row>
    <row r="158" spans="1:7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</row>
    <row r="159" spans="1:7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</row>
    <row r="160" spans="1:7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</row>
    <row r="161" spans="1:7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</row>
    <row r="162" spans="1:7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</row>
    <row r="163" spans="1:7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</row>
    <row r="164" spans="1:7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</row>
    <row r="165" spans="1:7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</row>
    <row r="166" spans="1:7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</row>
    <row r="167" spans="1:7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</row>
    <row r="168" spans="1:7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</row>
    <row r="169" spans="1:7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</row>
    <row r="170" spans="1:7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</row>
    <row r="171" spans="1:7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</row>
    <row r="172" spans="1:7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</row>
    <row r="173" spans="1: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</row>
    <row r="174" spans="1:7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</row>
    <row r="175" spans="1:7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</row>
    <row r="176" spans="1:7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</row>
    <row r="177" spans="1:7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</row>
    <row r="178" spans="1:7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</row>
    <row r="179" spans="1:7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</row>
    <row r="180" spans="1:7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</row>
    <row r="181" spans="1:7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</row>
    <row r="182" spans="1:7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</row>
    <row r="183" spans="1:7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</row>
    <row r="184" spans="1:7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</row>
    <row r="185" spans="1:7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</row>
    <row r="186" spans="1:7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</row>
    <row r="187" spans="1:7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</row>
    <row r="188" spans="1:7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</row>
    <row r="189" spans="1:7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</row>
    <row r="190" spans="1:7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</row>
    <row r="191" spans="1:7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</row>
    <row r="192" spans="1:7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</row>
    <row r="193" spans="1:7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</row>
    <row r="194" spans="1:7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</row>
    <row r="195" spans="1:7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</row>
    <row r="196" spans="1:7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</row>
    <row r="197" spans="1:7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</row>
    <row r="198" spans="1:7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</row>
    <row r="199" spans="1:7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</row>
    <row r="200" spans="1:7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</row>
    <row r="201" spans="1:7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</row>
    <row r="202" spans="1:7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</row>
    <row r="203" spans="1:7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</row>
    <row r="204" spans="1:7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</row>
    <row r="205" spans="1:7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</row>
    <row r="206" spans="1:7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</row>
    <row r="207" spans="1:7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</row>
    <row r="208" spans="1:7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</row>
    <row r="209" spans="1:7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</row>
  </sheetData>
  <mergeCells count="8">
    <mergeCell ref="B2:G2"/>
    <mergeCell ref="B10:G10"/>
    <mergeCell ref="B11:C11"/>
    <mergeCell ref="E11:G11"/>
    <mergeCell ref="B22:J22"/>
    <mergeCell ref="B23:C23"/>
    <mergeCell ref="E23:J23"/>
    <mergeCell ref="C5:F7"/>
  </mergeCells>
  <hyperlinks>
    <hyperlink ref="C5" r:id="rId5" display="借助数据透视表，可以快速对项目数据进行分类汇总，交叉分析，实时掌控项目进度，效率，成员工作分布等信息，方便了解项目进展。通过简单拖拽字段，用户可轻松改变分析维度，提炼有价值内容，操作介绍请参考创建及使用数据透视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7"/>
  <sheetViews>
    <sheetView workbookViewId="0">
      <selection activeCell="A1" sqref="A1"/>
    </sheetView>
  </sheetViews>
  <sheetFormatPr defaultColWidth="14" defaultRowHeight="13.2" outlineLevelCol="6"/>
  <cols>
    <col min="1" max="7" width="32" customWidth="1"/>
  </cols>
  <sheetData>
    <row r="1" ht="17" customHeight="1" spans="1:7">
      <c r="A1" t="s">
        <v>11</v>
      </c>
      <c r="B1" t="s">
        <v>96</v>
      </c>
      <c r="C1" t="s">
        <v>14</v>
      </c>
      <c r="D1" t="s">
        <v>97</v>
      </c>
      <c r="E1" t="s">
        <v>24</v>
      </c>
      <c r="F1" t="s">
        <v>98</v>
      </c>
      <c r="G1" t="s">
        <v>99</v>
      </c>
    </row>
    <row r="2" ht="17" customHeight="1" spans="1:7">
      <c r="A2" t="s">
        <v>100</v>
      </c>
      <c r="B2" t="s">
        <v>101</v>
      </c>
      <c r="C2" t="s">
        <v>102</v>
      </c>
      <c r="D2" t="s">
        <v>2</v>
      </c>
      <c r="E2" s="28">
        <v>46111</v>
      </c>
      <c r="F2" s="28">
        <v>46111</v>
      </c>
      <c r="G2" t="s">
        <v>103</v>
      </c>
    </row>
    <row r="3" ht="17" customHeight="1" spans="1:7">
      <c r="A3" t="s">
        <v>104</v>
      </c>
      <c r="B3" t="s">
        <v>101</v>
      </c>
      <c r="C3" t="s">
        <v>102</v>
      </c>
      <c r="D3" t="s">
        <v>2</v>
      </c>
      <c r="E3" s="28">
        <v>46111</v>
      </c>
      <c r="F3" s="28">
        <v>46111</v>
      </c>
      <c r="G3" t="s">
        <v>103</v>
      </c>
    </row>
    <row r="4" ht="17" customHeight="1" spans="1:7">
      <c r="A4" t="s">
        <v>105</v>
      </c>
      <c r="B4" t="s">
        <v>101</v>
      </c>
      <c r="C4" t="s">
        <v>102</v>
      </c>
      <c r="D4" t="s">
        <v>2</v>
      </c>
      <c r="E4" s="28">
        <v>46111</v>
      </c>
      <c r="F4" s="28">
        <v>46111</v>
      </c>
      <c r="G4" t="s">
        <v>103</v>
      </c>
    </row>
    <row r="5" ht="17" customHeight="1" spans="1:7">
      <c r="A5" t="s">
        <v>106</v>
      </c>
      <c r="B5" t="s">
        <v>101</v>
      </c>
      <c r="C5" t="s">
        <v>102</v>
      </c>
      <c r="D5" t="s">
        <v>2</v>
      </c>
      <c r="E5" s="28">
        <v>46111</v>
      </c>
      <c r="F5" s="28">
        <v>46111</v>
      </c>
      <c r="G5" t="s">
        <v>103</v>
      </c>
    </row>
    <row r="6" ht="17" customHeight="1" spans="1:7">
      <c r="A6" t="s">
        <v>107</v>
      </c>
      <c r="B6" t="s">
        <v>108</v>
      </c>
      <c r="C6" t="s">
        <v>109</v>
      </c>
      <c r="D6" t="s">
        <v>2</v>
      </c>
      <c r="E6" s="28">
        <v>46112</v>
      </c>
      <c r="F6" s="28">
        <v>46114</v>
      </c>
      <c r="G6" t="s">
        <v>103</v>
      </c>
    </row>
    <row r="7" ht="17" customHeight="1" spans="1:7">
      <c r="A7" t="s">
        <v>110</v>
      </c>
      <c r="B7" t="s">
        <v>108</v>
      </c>
      <c r="C7" t="s">
        <v>109</v>
      </c>
      <c r="D7" t="s">
        <v>2</v>
      </c>
      <c r="E7" s="28">
        <v>46113</v>
      </c>
      <c r="F7" s="28">
        <v>46119</v>
      </c>
      <c r="G7" t="s">
        <v>103</v>
      </c>
    </row>
    <row r="8" ht="17" customHeight="1" spans="1:7">
      <c r="A8" t="s">
        <v>111</v>
      </c>
      <c r="B8" t="s">
        <v>108</v>
      </c>
      <c r="C8" t="s">
        <v>109</v>
      </c>
      <c r="D8" t="s">
        <v>2</v>
      </c>
      <c r="E8" s="28">
        <v>46115</v>
      </c>
      <c r="F8" s="28">
        <v>46121</v>
      </c>
      <c r="G8" t="s">
        <v>103</v>
      </c>
    </row>
    <row r="9" ht="17" customHeight="1" spans="1:7">
      <c r="A9" t="s">
        <v>112</v>
      </c>
      <c r="B9" t="s">
        <v>108</v>
      </c>
      <c r="C9" t="s">
        <v>109</v>
      </c>
      <c r="D9" t="s">
        <v>2</v>
      </c>
      <c r="E9" s="28">
        <v>46120</v>
      </c>
      <c r="F9" s="28">
        <v>46126</v>
      </c>
      <c r="G9" t="s">
        <v>113</v>
      </c>
    </row>
    <row r="10" ht="17" customHeight="1" spans="1:7">
      <c r="A10" t="s">
        <v>114</v>
      </c>
      <c r="B10" t="s">
        <v>108</v>
      </c>
      <c r="C10" t="s">
        <v>109</v>
      </c>
      <c r="D10" t="s">
        <v>2</v>
      </c>
      <c r="E10" s="28">
        <v>46122</v>
      </c>
      <c r="F10" s="28">
        <v>46130</v>
      </c>
      <c r="G10" t="s">
        <v>113</v>
      </c>
    </row>
    <row r="11" ht="17" customHeight="1" spans="1:7">
      <c r="A11" t="s">
        <v>115</v>
      </c>
      <c r="B11" t="s">
        <v>108</v>
      </c>
      <c r="C11" t="s">
        <v>109</v>
      </c>
      <c r="D11" t="s">
        <v>2</v>
      </c>
      <c r="E11" s="28">
        <v>46127</v>
      </c>
      <c r="F11" s="28">
        <v>46133</v>
      </c>
      <c r="G11" t="s">
        <v>113</v>
      </c>
    </row>
    <row r="12" spans="1:7">
      <c r="A12" t="s">
        <v>116</v>
      </c>
      <c r="B12" t="s">
        <v>117</v>
      </c>
      <c r="C12" t="s">
        <v>109</v>
      </c>
      <c r="D12" t="s">
        <v>2</v>
      </c>
      <c r="E12" s="13">
        <v>46134</v>
      </c>
      <c r="F12" s="13">
        <v>46140</v>
      </c>
      <c r="G12" t="s">
        <v>103</v>
      </c>
    </row>
    <row r="13" spans="1:7">
      <c r="A13" t="s">
        <v>118</v>
      </c>
      <c r="B13" t="s">
        <v>117</v>
      </c>
      <c r="C13" t="s">
        <v>109</v>
      </c>
      <c r="D13" t="s">
        <v>2</v>
      </c>
      <c r="E13" s="13">
        <v>46134</v>
      </c>
      <c r="F13" s="13">
        <v>46142</v>
      </c>
      <c r="G13" t="s">
        <v>103</v>
      </c>
    </row>
    <row r="14" spans="1:7">
      <c r="A14" t="s">
        <v>119</v>
      </c>
      <c r="B14" t="s">
        <v>120</v>
      </c>
      <c r="C14" t="s">
        <v>109</v>
      </c>
      <c r="D14" t="s">
        <v>2</v>
      </c>
      <c r="E14" s="13">
        <v>46148</v>
      </c>
      <c r="F14" s="13">
        <v>46154</v>
      </c>
      <c r="G14" t="s">
        <v>113</v>
      </c>
    </row>
    <row r="15" spans="1:7">
      <c r="A15" t="s">
        <v>121</v>
      </c>
      <c r="B15" t="s">
        <v>120</v>
      </c>
      <c r="C15" t="s">
        <v>109</v>
      </c>
      <c r="D15" t="s">
        <v>2</v>
      </c>
      <c r="E15" s="13">
        <v>46152</v>
      </c>
      <c r="F15" s="13">
        <v>46162</v>
      </c>
      <c r="G15" t="s">
        <v>103</v>
      </c>
    </row>
    <row r="16" spans="1:7">
      <c r="A16" t="s">
        <v>122</v>
      </c>
      <c r="B16" t="s">
        <v>120</v>
      </c>
      <c r="C16" t="s">
        <v>109</v>
      </c>
      <c r="D16" t="s">
        <v>2</v>
      </c>
      <c r="E16" s="13">
        <v>46157</v>
      </c>
      <c r="F16" s="13">
        <v>46165</v>
      </c>
      <c r="G16" t="s">
        <v>103</v>
      </c>
    </row>
    <row r="17" spans="1:7">
      <c r="A17" t="s">
        <v>123</v>
      </c>
      <c r="B17" t="s">
        <v>124</v>
      </c>
      <c r="C17" t="s">
        <v>109</v>
      </c>
      <c r="D17" t="s">
        <v>2</v>
      </c>
      <c r="E17" s="13">
        <v>46162</v>
      </c>
      <c r="F17" s="13">
        <v>46172</v>
      </c>
      <c r="G17" t="s">
        <v>103</v>
      </c>
    </row>
  </sheetData>
  <dataValidations count="3">
    <dataValidation type="list" allowBlank="1" sqref="B2:B11">
      <formula1>"完成用户拉新,提升用户体验,优化产品功能,创新功能探索"</formula1>
    </dataValidation>
    <dataValidation type="list" allowBlank="1" sqref="C2:C11">
      <formula1>"未开始,进行中,已完成,已停滞"</formula1>
    </dataValidation>
    <dataValidation type="list" allowBlank="1" sqref="G2:G11">
      <formula1>"P0,P1,P2,P3"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6"/>
  <sheetViews>
    <sheetView workbookViewId="0">
      <selection activeCell="A1" sqref="A1:B1"/>
    </sheetView>
  </sheetViews>
  <sheetFormatPr defaultColWidth="14" defaultRowHeight="13.2"/>
  <cols>
    <col min="1" max="1" width="9" customWidth="1"/>
    <col min="2" max="2" width="57" customWidth="1"/>
  </cols>
  <sheetData>
    <row r="1" ht="29" customHeight="1" spans="1:20">
      <c r="A1" s="22" t="s">
        <v>125</v>
      </c>
      <c r="B1" s="22"/>
    </row>
    <row r="2" ht="29" customHeight="1" spans="1:20">
      <c r="A2" s="23" t="s">
        <v>126</v>
      </c>
      <c r="B2" s="15" t="s">
        <v>127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ht="29" customHeight="1" spans="1:20">
      <c r="A3" s="23" t="s">
        <v>128</v>
      </c>
      <c r="B3" s="15" t="s">
        <v>129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ht="29" customHeight="1" spans="1:20">
      <c r="A4" s="23" t="s">
        <v>130</v>
      </c>
      <c r="B4" s="15" t="s">
        <v>131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ht="34" customHeight="1" spans="1:20">
      <c r="A5" s="24" t="s">
        <v>132</v>
      </c>
      <c r="B5" s="25" t="s">
        <v>133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ht="29" customHeight="1" spans="1:20">
      <c r="B6" s="26"/>
    </row>
    <row r="7" ht="29" customHeight="1"/>
    <row r="8" ht="29" customHeight="1" spans="1:20">
      <c r="A8" s="27"/>
    </row>
    <row r="9" ht="29" customHeight="1" spans="1:20">
      <c r="A9" s="27"/>
    </row>
    <row r="10" ht="29" customHeight="1" spans="1:20">
      <c r="A10" s="27"/>
    </row>
    <row r="11" ht="29" customHeight="1" spans="1:20">
      <c r="A11" s="27"/>
    </row>
    <row r="12" ht="29" customHeight="1" spans="1:20">
      <c r="A12" s="27"/>
    </row>
    <row r="13" ht="29" customHeight="1" spans="1:20">
      <c r="A13" s="27"/>
    </row>
    <row r="14" ht="36" customHeight="1" spans="1:20">
      <c r="A14" s="27"/>
    </row>
    <row r="15" ht="36" customHeight="1" spans="1:20">
      <c r="A15" s="27"/>
    </row>
    <row r="16" ht="36" customHeight="1" spans="1:20">
      <c r="A16" s="27"/>
    </row>
    <row r="17" spans="1:1">
      <c r="A17" s="27"/>
    </row>
    <row r="18" spans="1:1">
      <c r="A18" s="27"/>
    </row>
    <row r="19" spans="1:1">
      <c r="A19" s="27"/>
    </row>
    <row r="20" spans="1:1">
      <c r="A20" s="27"/>
    </row>
    <row r="21" spans="1:1">
      <c r="A21" s="27"/>
    </row>
    <row r="22" spans="1:1">
      <c r="A22" s="27"/>
    </row>
    <row r="23" spans="1:1">
      <c r="A23" s="27"/>
    </row>
    <row r="24" spans="1:1">
      <c r="A24" s="27"/>
    </row>
    <row r="25" spans="1:1">
      <c r="A25" s="27"/>
    </row>
    <row r="26" spans="1:1">
      <c r="A26" s="27"/>
    </row>
    <row r="27" spans="1:1">
      <c r="A27" s="27"/>
    </row>
    <row r="28" spans="1:1">
      <c r="A28" s="27"/>
    </row>
    <row r="29" spans="1:1">
      <c r="A29" s="27"/>
    </row>
    <row r="30" spans="1:1">
      <c r="A30" s="27"/>
    </row>
    <row r="31" spans="1:1">
      <c r="A31" s="27"/>
    </row>
    <row r="32" spans="1:1">
      <c r="A32" s="27"/>
    </row>
    <row r="33" spans="1:1">
      <c r="A33" s="27"/>
    </row>
    <row r="34" spans="1:1">
      <c r="A34" s="27"/>
    </row>
    <row r="35" spans="1:1">
      <c r="A35" s="27"/>
    </row>
    <row r="36" spans="1:1">
      <c r="A36" s="27"/>
    </row>
    <row r="37" spans="1:1">
      <c r="A37" s="27"/>
    </row>
    <row r="38" spans="1:1">
      <c r="A38" s="27"/>
    </row>
    <row r="39" spans="1:1">
      <c r="A39" s="27"/>
    </row>
    <row r="40" spans="1:1">
      <c r="A40" s="27"/>
    </row>
    <row r="41" spans="1:1">
      <c r="A41" s="27"/>
    </row>
    <row r="42" spans="1:1">
      <c r="A42" s="27"/>
    </row>
    <row r="43" spans="1:1">
      <c r="A43" s="27"/>
    </row>
    <row r="44" spans="1:1">
      <c r="A44" s="27"/>
    </row>
    <row r="45" spans="1:1">
      <c r="A45" s="27"/>
    </row>
    <row r="46" spans="1:1">
      <c r="A46" s="27"/>
    </row>
    <row r="47" spans="1:1">
      <c r="A47" s="27"/>
    </row>
    <row r="48" spans="1:1">
      <c r="A48" s="27"/>
    </row>
    <row r="49" spans="1:1">
      <c r="A49" s="27"/>
    </row>
    <row r="50" spans="1:1">
      <c r="A50" s="27"/>
    </row>
    <row r="51" spans="1:1">
      <c r="A51" s="27"/>
    </row>
    <row r="52" spans="1:1">
      <c r="A52" s="27"/>
    </row>
    <row r="53" spans="1:1">
      <c r="A53" s="27"/>
    </row>
    <row r="54" spans="1:1">
      <c r="A54" s="27"/>
    </row>
    <row r="55" spans="1:1">
      <c r="A55" s="27"/>
    </row>
    <row r="56" spans="1:1">
      <c r="A56" s="27"/>
    </row>
    <row r="57" spans="1:1">
      <c r="A57" s="27"/>
    </row>
    <row r="58" spans="1:1">
      <c r="A58" s="27"/>
    </row>
    <row r="59" spans="1:1">
      <c r="A59" s="27"/>
    </row>
    <row r="60" spans="1:1">
      <c r="A60" s="27"/>
    </row>
    <row r="61" spans="1:1">
      <c r="A61" s="27"/>
    </row>
    <row r="62" spans="1:1">
      <c r="A62" s="27"/>
    </row>
    <row r="63" spans="1:1">
      <c r="A63" s="27"/>
    </row>
    <row r="64" spans="1:1">
      <c r="A64" s="27"/>
    </row>
    <row r="65" spans="1:1">
      <c r="A65" s="27"/>
    </row>
    <row r="66" spans="1:1">
      <c r="A66" s="27"/>
    </row>
    <row r="67" spans="1:1">
      <c r="A67" s="27"/>
    </row>
    <row r="68" spans="1:1">
      <c r="A68" s="27"/>
    </row>
    <row r="69" spans="1:1">
      <c r="A69" s="27"/>
    </row>
    <row r="70" spans="1:1">
      <c r="A70" s="27"/>
    </row>
    <row r="71" spans="1:1">
      <c r="A71" s="27"/>
    </row>
    <row r="72" spans="1:1">
      <c r="A72" s="27"/>
    </row>
    <row r="73" spans="1:1">
      <c r="A73" s="27"/>
    </row>
    <row r="74" spans="1:1">
      <c r="A74" s="27"/>
    </row>
    <row r="75" spans="1:1">
      <c r="A75" s="27"/>
    </row>
    <row r="76" spans="1:1">
      <c r="A76" s="27"/>
    </row>
    <row r="77" spans="1:1">
      <c r="A77" s="27"/>
    </row>
    <row r="78" spans="1:1">
      <c r="A78" s="27"/>
    </row>
    <row r="79" spans="1:1">
      <c r="A79" s="27"/>
    </row>
    <row r="80" spans="1:1">
      <c r="A80" s="27"/>
    </row>
    <row r="81" spans="1:1">
      <c r="A81" s="27"/>
    </row>
    <row r="82" spans="1:1">
      <c r="A82" s="27"/>
    </row>
    <row r="83" spans="1:1">
      <c r="A83" s="27"/>
    </row>
    <row r="84" spans="1:1">
      <c r="A84" s="27"/>
    </row>
    <row r="85" spans="1:1">
      <c r="A85" s="27"/>
    </row>
    <row r="86" spans="1:1">
      <c r="A86" s="27"/>
    </row>
    <row r="87" spans="1:1">
      <c r="A87" s="27"/>
    </row>
    <row r="88" spans="1:1">
      <c r="A88" s="27"/>
    </row>
    <row r="89" spans="1:1">
      <c r="A89" s="27"/>
    </row>
    <row r="90" spans="1:1">
      <c r="A90" s="27"/>
    </row>
    <row r="91" spans="1:1">
      <c r="A91" s="27"/>
    </row>
    <row r="92" spans="1:1">
      <c r="A92" s="27"/>
    </row>
    <row r="93" spans="1:1">
      <c r="A93" s="27"/>
    </row>
    <row r="94" spans="1:1">
      <c r="A94" s="27"/>
    </row>
    <row r="95" spans="1:1">
      <c r="A95" s="27"/>
    </row>
    <row r="96" spans="1:1">
      <c r="A96" s="27"/>
    </row>
    <row r="97" spans="1:1">
      <c r="A97" s="27"/>
    </row>
    <row r="98" spans="1:1">
      <c r="A98" s="27"/>
    </row>
    <row r="99" spans="1:1">
      <c r="A99" s="27"/>
    </row>
    <row r="100" spans="1:1">
      <c r="A100" s="27"/>
    </row>
    <row r="101" spans="1:1">
      <c r="A101" s="27"/>
    </row>
    <row r="102" spans="1:1">
      <c r="A102" s="27"/>
    </row>
    <row r="103" spans="1:1">
      <c r="A103" s="27"/>
    </row>
    <row r="104" spans="1:1">
      <c r="A104" s="27"/>
    </row>
    <row r="105" spans="1:1">
      <c r="A105" s="27"/>
    </row>
    <row r="106" spans="1:1">
      <c r="A106" s="27"/>
    </row>
    <row r="107" spans="1:1">
      <c r="A107" s="27"/>
    </row>
    <row r="108" spans="1:1">
      <c r="A108" s="27"/>
    </row>
    <row r="109" spans="1:1">
      <c r="A109" s="27"/>
    </row>
    <row r="110" spans="1:1">
      <c r="A110" s="27"/>
    </row>
    <row r="111" spans="1:1">
      <c r="A111" s="27"/>
    </row>
    <row r="112" spans="1:1">
      <c r="A112" s="27"/>
    </row>
    <row r="113" spans="1:1">
      <c r="A113" s="27"/>
    </row>
    <row r="114" spans="1:1">
      <c r="A114" s="27"/>
    </row>
    <row r="115" spans="1:1">
      <c r="A115" s="27"/>
    </row>
    <row r="116" spans="1:1">
      <c r="A116" s="27"/>
    </row>
    <row r="117" spans="1:1">
      <c r="A117" s="27"/>
    </row>
    <row r="118" spans="1:1">
      <c r="A118" s="27"/>
    </row>
    <row r="119" spans="1:1">
      <c r="A119" s="27"/>
    </row>
    <row r="120" spans="1:1">
      <c r="A120" s="27"/>
    </row>
    <row r="121" spans="1:1">
      <c r="A121" s="27"/>
    </row>
    <row r="122" spans="1:1">
      <c r="A122" s="27"/>
    </row>
    <row r="123" spans="1:1">
      <c r="A123" s="27"/>
    </row>
    <row r="124" spans="1:1">
      <c r="A124" s="27"/>
    </row>
    <row r="125" spans="1:1">
      <c r="A125" s="27"/>
    </row>
    <row r="126" spans="1:1">
      <c r="A126" s="27"/>
    </row>
    <row r="127" spans="1:1">
      <c r="A127" s="27"/>
    </row>
    <row r="128" spans="1:1">
      <c r="A128" s="27"/>
    </row>
    <row r="129" spans="1:1">
      <c r="A129" s="27"/>
    </row>
    <row r="130" spans="1:1">
      <c r="A130" s="27"/>
    </row>
    <row r="131" spans="1:1">
      <c r="A131" s="27"/>
    </row>
    <row r="132" spans="1:1">
      <c r="A132" s="27"/>
    </row>
    <row r="133" spans="1:1">
      <c r="A133" s="27"/>
    </row>
    <row r="134" spans="1:1">
      <c r="A134" s="27"/>
    </row>
    <row r="135" spans="1:1">
      <c r="A135" s="27"/>
    </row>
    <row r="136" spans="1:1">
      <c r="A136" s="27"/>
    </row>
    <row r="137" spans="1:1">
      <c r="A137" s="27"/>
    </row>
    <row r="138" spans="1:1">
      <c r="A138" s="27"/>
    </row>
    <row r="139" spans="1:1">
      <c r="A139" s="27"/>
    </row>
    <row r="140" spans="1:1">
      <c r="A140" s="27"/>
    </row>
    <row r="141" spans="1:1">
      <c r="A141" s="27"/>
    </row>
    <row r="142" spans="1:1">
      <c r="A142" s="27"/>
    </row>
    <row r="143" spans="1:1">
      <c r="A143" s="27"/>
    </row>
    <row r="144" spans="1:1">
      <c r="A144" s="27"/>
    </row>
    <row r="145" spans="1:1">
      <c r="A145" s="27"/>
    </row>
    <row r="146" spans="1:1">
      <c r="A146" s="27"/>
    </row>
    <row r="147" spans="1:1">
      <c r="A147" s="27"/>
    </row>
    <row r="148" spans="1:1">
      <c r="A148" s="27"/>
    </row>
    <row r="149" spans="1:1">
      <c r="A149" s="27"/>
    </row>
    <row r="150" spans="1:1">
      <c r="A150" s="27"/>
    </row>
    <row r="151" spans="1:1">
      <c r="A151" s="27"/>
    </row>
    <row r="152" spans="1:1">
      <c r="A152" s="27"/>
    </row>
    <row r="153" spans="1:1">
      <c r="A153" s="27"/>
    </row>
    <row r="154" spans="1:1">
      <c r="A154" s="27"/>
    </row>
    <row r="155" spans="1:1">
      <c r="A155" s="27"/>
    </row>
    <row r="156" spans="1:1">
      <c r="A156" s="27"/>
    </row>
    <row r="157" spans="1:1">
      <c r="A157" s="27"/>
    </row>
    <row r="158" spans="1:1">
      <c r="A158" s="27"/>
    </row>
    <row r="159" spans="1:1">
      <c r="A159" s="27"/>
    </row>
    <row r="160" spans="1:1">
      <c r="A160" s="27"/>
    </row>
    <row r="161" spans="1:1">
      <c r="A161" s="27"/>
    </row>
    <row r="162" spans="1:1">
      <c r="A162" s="27"/>
    </row>
    <row r="163" spans="1:1">
      <c r="A163" s="27"/>
    </row>
    <row r="164" spans="1:1">
      <c r="A164" s="27"/>
    </row>
    <row r="165" spans="1:1">
      <c r="A165" s="27"/>
    </row>
    <row r="166" spans="1:1">
      <c r="A166" s="27"/>
    </row>
    <row r="167" spans="1:1">
      <c r="A167" s="27"/>
    </row>
    <row r="168" spans="1:1">
      <c r="A168" s="27"/>
    </row>
    <row r="169" spans="1:1">
      <c r="A169" s="27"/>
    </row>
    <row r="170" spans="1:1">
      <c r="A170" s="27"/>
    </row>
    <row r="171" spans="1:1">
      <c r="A171" s="27"/>
    </row>
    <row r="172" spans="1:1">
      <c r="A172" s="27"/>
    </row>
    <row r="173" spans="1:1">
      <c r="A173" s="27"/>
    </row>
    <row r="174" spans="1:1">
      <c r="A174" s="27"/>
    </row>
    <row r="175" spans="1:1">
      <c r="A175" s="27"/>
    </row>
    <row r="176" spans="1:1">
      <c r="A176" s="27"/>
    </row>
    <row r="177" spans="1:1">
      <c r="A177" s="27"/>
    </row>
    <row r="178" spans="1:1">
      <c r="A178" s="27"/>
    </row>
    <row r="179" spans="1:1">
      <c r="A179" s="27"/>
    </row>
    <row r="180" spans="1:1">
      <c r="A180" s="27"/>
    </row>
    <row r="181" spans="1:1">
      <c r="A181" s="27"/>
    </row>
    <row r="182" spans="1:1">
      <c r="A182" s="27"/>
    </row>
    <row r="183" spans="1:1">
      <c r="A183" s="27"/>
    </row>
    <row r="184" spans="1:1">
      <c r="A184" s="27"/>
    </row>
    <row r="185" spans="1:1">
      <c r="A185" s="27"/>
    </row>
    <row r="186" spans="1:1">
      <c r="A186" s="27"/>
    </row>
    <row r="187" spans="1:1">
      <c r="A187" s="27"/>
    </row>
    <row r="188" spans="1:1">
      <c r="A188" s="27"/>
    </row>
    <row r="189" spans="1:1">
      <c r="A189" s="27"/>
    </row>
    <row r="190" spans="1:1">
      <c r="A190" s="27"/>
    </row>
    <row r="191" spans="1:1">
      <c r="A191" s="27"/>
    </row>
    <row r="192" spans="1:1">
      <c r="A192" s="27"/>
    </row>
    <row r="193" spans="1:1">
      <c r="A193" s="27"/>
    </row>
    <row r="194" spans="1:1">
      <c r="A194" s="27"/>
    </row>
    <row r="195" spans="1:1">
      <c r="A195" s="27"/>
    </row>
    <row r="196" spans="1:1">
      <c r="A196" s="27"/>
    </row>
    <row r="197" spans="1:1">
      <c r="A197" s="27"/>
    </row>
    <row r="198" spans="1:1">
      <c r="A198" s="27"/>
    </row>
    <row r="199" spans="1:1">
      <c r="A199" s="27"/>
    </row>
    <row r="200" spans="1:1">
      <c r="A200" s="27"/>
    </row>
    <row r="201" spans="1:1">
      <c r="A201" s="27"/>
    </row>
    <row r="202" spans="1:1">
      <c r="A202" s="27"/>
    </row>
    <row r="203" spans="1:1">
      <c r="A203" s="27"/>
    </row>
    <row r="204" spans="1:1">
      <c r="A204" s="27"/>
    </row>
    <row r="205" spans="1:1">
      <c r="A205" s="27"/>
    </row>
    <row r="206" spans="1:1">
      <c r="A206" s="27"/>
    </row>
  </sheetData>
  <mergeCells count="1">
    <mergeCell ref="A1:B1"/>
  </mergeCells>
  <hyperlinks>
    <hyperlink ref="B5" r:id="rId1" display="更智能的项目甘特图欢迎点击➡️（项目甘特图Pro模板），可智能生成项目时间条、计算工作总量、根据子任务计算父级任务完成度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6"/>
  <sheetViews>
    <sheetView workbookViewId="0">
      <selection activeCell="A1" sqref="A1"/>
    </sheetView>
  </sheetViews>
  <sheetFormatPr defaultColWidth="14" defaultRowHeight="13.2"/>
  <cols>
    <col min="1" max="1" width="13" customWidth="1"/>
    <col min="2" max="5" width="14" customWidth="1"/>
    <col min="6" max="6" width="28" customWidth="1"/>
    <col min="7" max="7" width="46" customWidth="1"/>
    <col min="8" max="20" width="14" customWidth="1"/>
  </cols>
  <sheetData>
    <row r="1" ht="13.8" spans="1:20">
      <c r="A1" s="14" t="s">
        <v>134</v>
      </c>
      <c r="B1" s="14" t="s">
        <v>135</v>
      </c>
      <c r="C1" s="15"/>
      <c r="D1" s="14" t="s">
        <v>136</v>
      </c>
      <c r="E1" s="15"/>
      <c r="F1" s="16" t="s">
        <v>137</v>
      </c>
      <c r="G1" s="16"/>
      <c r="H1" s="16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>
      <c r="A2" s="17" t="s">
        <v>138</v>
      </c>
      <c r="B2" s="18">
        <v>45657</v>
      </c>
      <c r="C2" s="15"/>
      <c r="D2" s="18">
        <v>45326</v>
      </c>
      <c r="E2" s="15"/>
      <c r="F2" s="16"/>
      <c r="G2" s="16"/>
      <c r="H2" s="16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>
      <c r="A3" s="17" t="s">
        <v>138</v>
      </c>
      <c r="B3" s="18">
        <v>45658</v>
      </c>
      <c r="C3" s="15"/>
      <c r="D3" s="18">
        <v>45340</v>
      </c>
      <c r="E3" s="15"/>
      <c r="F3" s="15" t="s">
        <v>139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>
      <c r="A4" s="17" t="s">
        <v>140</v>
      </c>
      <c r="B4" s="18">
        <v>45332</v>
      </c>
      <c r="C4" s="15"/>
      <c r="D4" s="18">
        <v>45389</v>
      </c>
      <c r="E4" s="15"/>
      <c r="F4" s="19" t="s">
        <v>141</v>
      </c>
      <c r="G4" s="19"/>
      <c r="H4" s="19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>
      <c r="A5" s="17" t="s">
        <v>140</v>
      </c>
      <c r="B5" s="18">
        <v>45333</v>
      </c>
      <c r="C5" s="15"/>
      <c r="D5" s="18">
        <v>45410</v>
      </c>
      <c r="E5" s="15"/>
      <c r="F5" s="20" t="s">
        <v>142</v>
      </c>
      <c r="G5" s="20"/>
      <c r="H5" s="20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140</v>
      </c>
      <c r="B6" s="18">
        <v>45334</v>
      </c>
      <c r="C6" s="15"/>
      <c r="D6" s="18">
        <v>45423</v>
      </c>
      <c r="E6" s="15"/>
      <c r="F6" s="20"/>
      <c r="G6" s="20"/>
      <c r="H6" s="20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>
      <c r="A7" s="17" t="s">
        <v>140</v>
      </c>
      <c r="B7" s="18">
        <v>45335</v>
      </c>
      <c r="C7" s="15"/>
      <c r="D7" s="18">
        <v>45549</v>
      </c>
      <c r="E7" s="15"/>
      <c r="F7" s="20" t="s">
        <v>143</v>
      </c>
      <c r="G7" s="20"/>
      <c r="H7" s="20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>
      <c r="A8" s="17" t="s">
        <v>140</v>
      </c>
      <c r="B8" s="18">
        <v>45336</v>
      </c>
      <c r="C8" s="15"/>
      <c r="D8" s="18">
        <v>45564</v>
      </c>
      <c r="E8" s="15"/>
      <c r="F8" s="20"/>
      <c r="G8" s="20"/>
      <c r="H8" s="20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>
      <c r="A9" s="17" t="s">
        <v>140</v>
      </c>
      <c r="B9" s="18">
        <v>45337</v>
      </c>
      <c r="C9" s="15"/>
      <c r="D9" s="18">
        <v>45577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>
      <c r="A10" s="17" t="s">
        <v>140</v>
      </c>
      <c r="B10" s="18">
        <v>45338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>
      <c r="A11" s="17" t="s">
        <v>140</v>
      </c>
      <c r="B11" s="18">
        <v>45339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>
      <c r="A12" s="17" t="s">
        <v>144</v>
      </c>
      <c r="B12" s="18">
        <v>45386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>
      <c r="A13" s="17" t="s">
        <v>144</v>
      </c>
      <c r="B13" s="18">
        <v>45387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>
      <c r="A14" s="17" t="s">
        <v>144</v>
      </c>
      <c r="B14" s="18">
        <v>45388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>
      <c r="A15" s="17" t="s">
        <v>145</v>
      </c>
      <c r="B15" s="18">
        <v>45413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>
      <c r="A16" s="17" t="s">
        <v>145</v>
      </c>
      <c r="B16" s="18">
        <v>45414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>
      <c r="A17" s="17" t="s">
        <v>145</v>
      </c>
      <c r="B17" s="18">
        <v>45415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7" t="s">
        <v>145</v>
      </c>
      <c r="B18" s="18">
        <v>45416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>
      <c r="A19" s="17" t="s">
        <v>145</v>
      </c>
      <c r="B19" s="18">
        <v>45417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7" t="s">
        <v>146</v>
      </c>
      <c r="B20" s="18">
        <v>45453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>
      <c r="A21" s="17" t="s">
        <v>147</v>
      </c>
      <c r="B21" s="18">
        <v>45550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>
      <c r="A22" s="17" t="s">
        <v>147</v>
      </c>
      <c r="B22" s="18">
        <v>45551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>
      <c r="A23" s="17" t="s">
        <v>147</v>
      </c>
      <c r="B23" s="18">
        <v>45552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>
      <c r="A24" s="17" t="s">
        <v>148</v>
      </c>
      <c r="B24" s="18">
        <v>45566</v>
      </c>
      <c r="C24" s="21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>
      <c r="A25" s="17" t="s">
        <v>148</v>
      </c>
      <c r="B25" s="18">
        <v>45567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>
      <c r="A26" s="17" t="s">
        <v>148</v>
      </c>
      <c r="B26" s="18">
        <v>45568</v>
      </c>
      <c r="C26" s="21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>
      <c r="A27" s="17" t="s">
        <v>148</v>
      </c>
      <c r="B27" s="18">
        <v>45569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>
      <c r="A28" s="17" t="s">
        <v>148</v>
      </c>
      <c r="B28" s="18">
        <v>45570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>
      <c r="A29" s="17" t="s">
        <v>148</v>
      </c>
      <c r="B29" s="18">
        <v>45571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>
      <c r="A30" s="17" t="s">
        <v>148</v>
      </c>
      <c r="B30" s="18">
        <v>45572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0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spans="1:20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1:20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20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1:20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0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spans="1:20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1:20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spans="1:20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spans="1:2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1:20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1:20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spans="1:20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spans="1:20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spans="1:20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 spans="1:2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1:20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1:20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1:20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1:20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1:20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1:20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spans="1:20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 spans="1:20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1:20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1:2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1:20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1:20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1:20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 spans="1:20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 spans="1:20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 spans="1:20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1:20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spans="1:20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spans="1:2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spans="1:20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 spans="1:20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spans="1:20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 spans="1:20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 spans="1:20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 spans="1:20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 spans="1:20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 spans="1:20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spans="1:20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 spans="1: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 spans="1:20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 spans="1:20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 spans="1:20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 spans="1:20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 spans="1:20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 spans="1:20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 spans="1:20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</row>
    <row r="128" spans="1:20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 spans="1:20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</row>
    <row r="130" spans="1:2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 spans="1:20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 spans="1:20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 spans="1:20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 spans="1:20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 spans="1:20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</row>
    <row r="136" spans="1:20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 spans="1:20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</row>
    <row r="138" spans="1:20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 spans="1:20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 spans="1:2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 spans="1:20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 spans="1:20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 spans="1:20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 spans="1:20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 spans="1:20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 spans="1:20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 spans="1:20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 spans="1:20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 spans="1:20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 spans="1:2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 spans="1:20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 spans="1:20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 spans="1:20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 spans="1:20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 spans="1:20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 spans="1:20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spans="1:20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 spans="1:20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 spans="1:20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 spans="1:2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 spans="1:20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 spans="1:20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 spans="1:20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 spans="1:20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 spans="1:20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 spans="1:20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 spans="1:20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</row>
    <row r="168" spans="1:20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 spans="1:20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</row>
    <row r="170" spans="1:2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 spans="1:20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</row>
    <row r="172" spans="1:20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 spans="1:20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</row>
    <row r="174" spans="1:20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 spans="1:20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</row>
    <row r="176" spans="1:20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 spans="1:20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</row>
    <row r="178" spans="1:20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 spans="1:20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</row>
    <row r="180" spans="1:2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 spans="1:20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</row>
    <row r="182" spans="1:20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 spans="1:20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 spans="1:20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 spans="1:20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</row>
    <row r="186" spans="1:20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 spans="1:20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</row>
    <row r="188" spans="1:20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 spans="1:20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</row>
    <row r="190" spans="1:2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 spans="1:20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</row>
    <row r="192" spans="1:20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 spans="1:20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 spans="1:20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 spans="1:20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 spans="1:20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</sheetData>
  <mergeCells count="5">
    <mergeCell ref="F3:H3"/>
    <mergeCell ref="F4:H4"/>
    <mergeCell ref="F1:H2"/>
    <mergeCell ref="F5:H6"/>
    <mergeCell ref="F7:H8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5"/>
  <sheetViews>
    <sheetView workbookViewId="0">
      <pane ySplit="1" topLeftCell="A2" activePane="bottomLeft" state="frozen"/>
      <selection/>
      <selection pane="bottomLeft" activeCell="E5" sqref="E5"/>
    </sheetView>
  </sheetViews>
  <sheetFormatPr defaultColWidth="14" defaultRowHeight="13.2" outlineLevelRow="4"/>
  <cols>
    <col min="1" max="1" width="10" customWidth="1"/>
    <col min="2" max="2" width="12" customWidth="1"/>
    <col min="3" max="3" width="22" customWidth="1"/>
    <col min="4" max="4" width="39" customWidth="1"/>
    <col min="5" max="5" width="60" customWidth="1"/>
    <col min="6" max="6" width="18" customWidth="1"/>
    <col min="7" max="7" width="16" customWidth="1"/>
    <col min="8" max="9" width="10" customWidth="1"/>
    <col min="10" max="10" width="11" customWidth="1"/>
    <col min="11" max="11" width="40" customWidth="1"/>
    <col min="12" max="12" width="12" customWidth="1"/>
    <col min="13" max="13" width="9" customWidth="1"/>
  </cols>
  <sheetData>
    <row r="1" ht="13.8" spans="1:24">
      <c r="A1" s="1" t="s">
        <v>149</v>
      </c>
      <c r="B1" s="2" t="s">
        <v>150</v>
      </c>
      <c r="C1" s="1" t="s">
        <v>151</v>
      </c>
      <c r="D1" s="3" t="s">
        <v>152</v>
      </c>
      <c r="E1" s="4" t="s">
        <v>153</v>
      </c>
      <c r="F1" s="1" t="s">
        <v>154</v>
      </c>
      <c r="G1" s="3" t="s">
        <v>155</v>
      </c>
      <c r="H1" s="5" t="s">
        <v>156</v>
      </c>
      <c r="I1" s="5" t="s">
        <v>99</v>
      </c>
      <c r="J1" s="5" t="s">
        <v>157</v>
      </c>
      <c r="K1" s="4" t="s">
        <v>158</v>
      </c>
      <c r="L1" s="1" t="s">
        <v>159</v>
      </c>
      <c r="M1" s="6" t="s">
        <v>160</v>
      </c>
      <c r="N1" s="7" t="s">
        <v>161</v>
      </c>
      <c r="O1" s="8"/>
      <c r="P1" s="8"/>
      <c r="Q1" s="8"/>
      <c r="R1" s="8"/>
      <c r="S1" s="8"/>
      <c r="T1" s="8"/>
      <c r="U1" s="8"/>
      <c r="V1" s="8"/>
      <c r="W1" s="8"/>
      <c r="X1" s="8"/>
    </row>
    <row r="2" ht="58.7" customHeight="1" spans="1:24">
      <c r="A2" s="7" t="s">
        <v>2</v>
      </c>
      <c r="B2" s="9">
        <v>46111</v>
      </c>
      <c r="C2" s="7" t="s">
        <v>162</v>
      </c>
      <c r="D2" s="10" t="s">
        <v>163</v>
      </c>
      <c r="E2" s="11" t="s">
        <v>164</v>
      </c>
      <c r="F2" s="8"/>
      <c r="G2" s="7"/>
      <c r="H2" s="7" t="s">
        <v>165</v>
      </c>
      <c r="I2" s="7" t="s">
        <v>166</v>
      </c>
      <c r="J2" s="7" t="s">
        <v>2</v>
      </c>
      <c r="K2" s="11" t="s">
        <v>167</v>
      </c>
      <c r="L2" s="9"/>
      <c r="M2" s="12"/>
      <c r="N2" s="7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>
      <c r="A3" t="s">
        <v>2</v>
      </c>
      <c r="B3" s="13">
        <v>46111</v>
      </c>
      <c r="C3" t="s">
        <v>168</v>
      </c>
      <c r="D3" t="s">
        <v>169</v>
      </c>
      <c r="E3" t="s">
        <v>170</v>
      </c>
      <c r="H3" t="s">
        <v>171</v>
      </c>
      <c r="I3" t="s">
        <v>166</v>
      </c>
      <c r="J3" t="s">
        <v>172</v>
      </c>
      <c r="K3" t="s">
        <v>173</v>
      </c>
      <c r="L3" s="13">
        <v>46111</v>
      </c>
    </row>
    <row r="4" spans="1:24">
      <c r="A4" t="s">
        <v>2</v>
      </c>
      <c r="B4" s="13">
        <v>46111</v>
      </c>
      <c r="C4" t="s">
        <v>114</v>
      </c>
      <c r="D4" t="s">
        <v>174</v>
      </c>
      <c r="E4" t="s">
        <v>175</v>
      </c>
      <c r="H4" t="s">
        <v>171</v>
      </c>
      <c r="I4" t="s">
        <v>166</v>
      </c>
      <c r="J4" t="s">
        <v>172</v>
      </c>
      <c r="K4" t="s">
        <v>176</v>
      </c>
      <c r="L4" s="13">
        <v>46111</v>
      </c>
    </row>
    <row r="5" spans="1:24">
      <c r="A5" t="s">
        <v>2</v>
      </c>
      <c r="B5" s="13">
        <v>46111</v>
      </c>
      <c r="C5" t="s">
        <v>177</v>
      </c>
      <c r="D5" t="s">
        <v>178</v>
      </c>
      <c r="E5" t="s">
        <v>179</v>
      </c>
      <c r="H5" t="s">
        <v>180</v>
      </c>
      <c r="I5" t="s">
        <v>181</v>
      </c>
      <c r="J5" t="s">
        <v>172</v>
      </c>
      <c r="K5" t="s">
        <v>182</v>
      </c>
      <c r="L5" s="13">
        <v>46111</v>
      </c>
    </row>
  </sheetData>
  <dataValidations count="6">
    <dataValidation type="list" allowBlank="1" showErrorMessage="1" sqref="A2">
      <formula1>"田华,孙启明,孙佳明,赵添志,总调"</formula1>
    </dataValidation>
    <dataValidation type="list" allowBlank="1" showErrorMessage="1" sqref="C2">
      <formula1>"调度子系统,生产操作子系统,小程序"</formula1>
    </dataValidation>
    <dataValidation type="list" allowBlank="1" showErrorMessage="1" sqref="H2">
      <formula1>"bug,优化,待确认,环境"</formula1>
    </dataValidation>
    <dataValidation type="list" allowBlank="1" showErrorMessage="1" sqref="I2">
      <formula1>"紧急,一般"</formula1>
    </dataValidation>
    <dataValidation type="list" allowBlank="1" showErrorMessage="1" sqref="J2">
      <formula1>"李光军,李斌,张永菲,王昌泽,矫淑宏,胡兆稳,刘瀚远,苏浩南,高杰,吴秀晗,宁文龙,宋成志"</formula1>
    </dataValidation>
    <dataValidation type="list" allowBlank="1" showErrorMessage="1" sqref="N2">
      <formula1>"通过,未通过"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项目管理</vt:lpstr>
      <vt:lpstr>项目进展分析</vt:lpstr>
      <vt:lpstr>项目甘特图</vt:lpstr>
      <vt:lpstr>使用说明</vt:lpstr>
      <vt:lpstr>节假日一览表</vt:lpstr>
      <vt:lpstr>测试问题及整改记录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范皓为</cp:lastModifiedBy>
  <dcterms:created xsi:type="dcterms:W3CDTF">2026-03-30T06:31:00Z</dcterms:created>
  <dcterms:modified xsi:type="dcterms:W3CDTF">2026-03-30T06:59:58Z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073AF1713B094FDBB499D43966EF603B_12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